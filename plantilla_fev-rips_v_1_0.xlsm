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ms2026\__nueva_plantilla_260707\seenvioparapublicacion_del260710\"/>
    </mc:Choice>
  </mc:AlternateContent>
  <bookViews>
    <workbookView xWindow="1050" yWindow="870" windowWidth="20190" windowHeight="9780" tabRatio="882"/>
  </bookViews>
  <sheets>
    <sheet name="transaccion" sheetId="46" r:id="rId1"/>
    <sheet name="usuarios" sheetId="19" r:id="rId2"/>
    <sheet name="consultas" sheetId="4" r:id="rId3"/>
    <sheet name="urgencias" sheetId="6" r:id="rId4"/>
    <sheet name="procedimientos" sheetId="5" r:id="rId5"/>
    <sheet name="hospitalizacion" sheetId="7" r:id="rId6"/>
    <sheet name="recienNacidos" sheetId="8" r:id="rId7"/>
    <sheet name="medicamentos" sheetId="9" r:id="rId8"/>
    <sheet name="otrosServicios" sheetId="10" r:id="rId9"/>
    <sheet name="Listas" sheetId="16" state="hidden" r:id="rId10"/>
  </sheets>
  <definedNames>
    <definedName name="_01T03_Transaccion_tipoNota">Listas!$G$11:$G$15</definedName>
    <definedName name="_02U_Doc_Ident">_02U[numDocumentoIdentificacion]</definedName>
    <definedName name="_02U01_por_tipo_tipoDocumentoIdentificacion">_02U[[#All],[tipoDocumentoIdentificacion]:[consecutivo]]</definedName>
    <definedName name="_02U01_Usuario_tipoDocumentoIdentificacion">Listas!$H$11:$H$26</definedName>
    <definedName name="_02U02_numDocumentoIdObligado">usuarios!$C$1:$C$2</definedName>
    <definedName name="_02U03_Usuario_tipoUsuario">Listas!$I$11:$I$23</definedName>
    <definedName name="_02U05_Usuario_codSexo">Listas!$J$11:$J$13</definedName>
    <definedName name="_02U06_Usuario_codPaisResidencia">Listas!$K$11:$K$259</definedName>
    <definedName name="_02U07_Usuario_codMunicipioResidencia">Listas!$L$11:$L$1135</definedName>
    <definedName name="_02U08_Usuario_codZonaTerritorialResidencia">Listas!$M$11:$M$13</definedName>
    <definedName name="_02U09_Usuario_incapacidad">Listas!$N$11:$N$12</definedName>
    <definedName name="_02U11_Usuario_codPaisOrigen">Listas!$O$11:$O$259</definedName>
    <definedName name="_03C05_Consulta_modalidadGrupoServicioTecSal">Listas!$P$11:$P$18</definedName>
    <definedName name="_03C06_Consulta_grupoServicios">Listas!$Q$11:$Q$15</definedName>
    <definedName name="_03C07_Consulta_codServicio">Listas!$R$11:$R$167</definedName>
    <definedName name="_03C08_Consulta_FinalidadTecnologiaSalud">Listas!$S$11:$S$44</definedName>
    <definedName name="_03C09_Consulta_causaMotivoAtencion">Listas!$T$11:$T$39</definedName>
    <definedName name="_03C14_Consulta_tipoDiagnosticoPrincipal">Listas!$U$11:$U$13</definedName>
    <definedName name="_03C15_Consulta_tipoDocumentoIdentificacion">Listas!$V$11:$V$26</definedName>
    <definedName name="_03C18_Consulta_conceptoRecaudo">Listas!$W$11:$W$15</definedName>
    <definedName name="_04P06_Procedimientos_viaIngresoServicioSalud">Listas!$X$11:$X$24</definedName>
    <definedName name="_04P07_Procedimientos_modalidadGrupoServicioTecSal">Listas!$Y$11:$Y$18</definedName>
    <definedName name="_04P08_Procedimientos_grupoServicios">Listas!$Z$11:$Z$15</definedName>
    <definedName name="_04P09_Procedimientos_codservicio">Listas!$AA$11:$AA$167</definedName>
    <definedName name="_04P10_Procedimientos_finalidadTecnologiaSalud">Listas!$AB$11:$AB$44</definedName>
    <definedName name="_04P11_Procedimientos_tipoDocumentoIdentificacion">Listas!$AC$11:$AC$26</definedName>
    <definedName name="_04P17_Procedimientos_conceptoRecaudo">Listas!$AD$11:$AD$15</definedName>
    <definedName name="_05R03_Urgencias_causaMotivoAtencion">Listas!$AE$11:$AE$39</definedName>
    <definedName name="_05R09_Urgencias_condicionDestinoUsuarioEgreso">Listas!$AF$11:$AF$18</definedName>
    <definedName name="_06H02_Hospitalizacion_viaIngresoServicioSalud">Listas!$AG$11:$AG$24</definedName>
    <definedName name="_06H05_Hospitalizacion_causaMotivoAtencion">Listas!$AH$11:$AH$39</definedName>
    <definedName name="_06H12_Hospitalizacion_condicionDestinoUsuarioEgreso">Listas!$AI$11:$AI$18</definedName>
    <definedName name="_07N02_Recien_Nacidos_tipoDocumentoIdentificacion">Listas!$AJ$11:$AJ$13</definedName>
    <definedName name="_07N07_Recien_Nacidos_codSexoBiologico">Listas!$AK$11:$AK$13</definedName>
    <definedName name="_07N10_Recien_Nacidos_condicionDestinoUsuarioEgreso">Listas!$AL$11:$AL$18</definedName>
    <definedName name="_08M07_Medicamentos_tipoMedicamento">Listas!$AM$11:$AM$15</definedName>
    <definedName name="_08M11_Medicamentos_unidadMedida">Listas!$AN$11:$AN$283</definedName>
    <definedName name="_08M12_Medicamentos_formaFarmaceutica">Listas!$AO$11:$AO$58</definedName>
    <definedName name="_08M13_Medicamentos_unidadMinDispensa">Listas!$AP$11:$AP$88</definedName>
    <definedName name="_08M16_Medicamentos_tipoDocumentoIdentificacion">Listas!$AQ$11:$AQ$27</definedName>
    <definedName name="_08M20_Medicamentos_conceptoRecaudo">Listas!$AR$11:$AR$15</definedName>
    <definedName name="_09S05_Otros_Servicios_tipoOS">Listas!$AS$11:$AS$16</definedName>
    <definedName name="_09S09_Otros_Servicios_tipoDocumentoIdentificacion">Listas!$AT$11:$AT$27</definedName>
    <definedName name="_09S13_Otros_Servicios_conceptoRecaudo">Listas!$AU$11:$AU$15</definedName>
    <definedName name="_xlnm._FilterDatabase" localSheetId="9" hidden="1">Listas!$A$10:$AX$500011</definedName>
    <definedName name="_xlnm._FilterDatabase" localSheetId="0" hidden="1">transaccion!$A$1:$D$2</definedName>
    <definedName name="Hojas_Rips">Listas!$AW$10:$AW$19</definedName>
    <definedName name="numDocumentoIdentificacion">_02U[[#All],[numDocumentoIdentificacion]]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16" l="1"/>
  <c r="H1" i="16"/>
  <c r="I1" i="16"/>
  <c r="J1" i="16"/>
  <c r="K1" i="16"/>
  <c r="L1" i="16"/>
  <c r="M1" i="16"/>
  <c r="N1" i="16"/>
  <c r="O1" i="16"/>
  <c r="P1" i="16"/>
  <c r="Q1" i="16"/>
  <c r="R1" i="16"/>
  <c r="S1" i="16"/>
  <c r="T1" i="16"/>
  <c r="U1" i="16"/>
  <c r="V1" i="16"/>
  <c r="W1" i="16"/>
  <c r="X1" i="16"/>
  <c r="Y1" i="16"/>
  <c r="Z1" i="16"/>
  <c r="AA1" i="16"/>
  <c r="AB1" i="16"/>
  <c r="AC1" i="16"/>
  <c r="AD1" i="16"/>
  <c r="AE1" i="16"/>
  <c r="AF1" i="16"/>
  <c r="AG1" i="16"/>
  <c r="AH1" i="16"/>
  <c r="AI1" i="16"/>
  <c r="AJ1" i="16"/>
  <c r="AK1" i="16"/>
  <c r="AL1" i="16"/>
  <c r="AM1" i="16"/>
  <c r="AN1" i="16"/>
  <c r="AO1" i="16"/>
  <c r="AP1" i="16"/>
  <c r="AQ1" i="16"/>
  <c r="AR1" i="16"/>
  <c r="AS1" i="16"/>
  <c r="AT1" i="16"/>
  <c r="AU1" i="16"/>
  <c r="AU8" i="16" a="1"/>
  <c r="AU8" i="16" s="1"/>
  <c r="AT8" i="16" a="1"/>
  <c r="AT8" i="16" s="1"/>
  <c r="AS8" i="16" a="1"/>
  <c r="AS8" i="16" s="1"/>
  <c r="AR8" i="16" a="1"/>
  <c r="AR8" i="16" s="1"/>
  <c r="AQ8" i="16" a="1"/>
  <c r="AQ8" i="16" s="1"/>
  <c r="AP8" i="16" a="1"/>
  <c r="AP8" i="16" s="1"/>
  <c r="AO8" i="16" a="1"/>
  <c r="AO8" i="16" s="1"/>
  <c r="AN8" i="16" a="1"/>
  <c r="AN8" i="16" s="1"/>
  <c r="AM8" i="16" a="1"/>
  <c r="AM8" i="16" s="1"/>
  <c r="AL8" i="16" a="1"/>
  <c r="AL8" i="16" s="1"/>
  <c r="AK8" i="16" a="1"/>
  <c r="AK8" i="16" s="1"/>
  <c r="AJ8" i="16" a="1"/>
  <c r="AJ8" i="16" s="1"/>
  <c r="AI8" i="16" a="1"/>
  <c r="AI8" i="16" s="1"/>
  <c r="AH8" i="16" a="1"/>
  <c r="AH8" i="16" s="1"/>
  <c r="AG8" i="16" a="1"/>
  <c r="AG8" i="16" s="1"/>
  <c r="AF8" i="16" a="1"/>
  <c r="AF8" i="16" s="1"/>
  <c r="AE8" i="16" a="1"/>
  <c r="AE8" i="16" s="1"/>
  <c r="AD8" i="16" a="1"/>
  <c r="AD8" i="16" s="1"/>
  <c r="AC8" i="16" a="1"/>
  <c r="AC8" i="16" s="1"/>
  <c r="AB8" i="16" a="1"/>
  <c r="AB8" i="16" s="1"/>
  <c r="AA8" i="16" a="1"/>
  <c r="AA8" i="16" s="1"/>
  <c r="Z8" i="16" a="1"/>
  <c r="Z8" i="16" s="1"/>
  <c r="Y8" i="16" a="1"/>
  <c r="Y8" i="16" s="1"/>
  <c r="X8" i="16" a="1"/>
  <c r="X8" i="16" s="1"/>
  <c r="W8" i="16" a="1"/>
  <c r="W8" i="16" s="1"/>
  <c r="V8" i="16" a="1"/>
  <c r="V8" i="16" s="1"/>
  <c r="U8" i="16" a="1"/>
  <c r="U8" i="16" s="1"/>
  <c r="T8" i="16" a="1"/>
  <c r="T8" i="16" s="1"/>
  <c r="S8" i="16" a="1"/>
  <c r="S8" i="16" s="1"/>
  <c r="R8" i="16" a="1"/>
  <c r="R8" i="16" s="1"/>
  <c r="Q8" i="16" a="1"/>
  <c r="Q8" i="16" s="1"/>
  <c r="P8" i="16" a="1"/>
  <c r="P8" i="16" s="1"/>
  <c r="O8" i="16" a="1"/>
  <c r="O8" i="16" s="1"/>
  <c r="N8" i="16" a="1"/>
  <c r="N8" i="16" s="1"/>
  <c r="M8" i="16" a="1"/>
  <c r="M8" i="16" s="1"/>
  <c r="L8" i="16" a="1"/>
  <c r="L8" i="16" s="1"/>
  <c r="K8" i="16" a="1"/>
  <c r="K8" i="16" s="1"/>
  <c r="J8" i="16" a="1"/>
  <c r="J8" i="16" s="1"/>
  <c r="I8" i="16" a="1"/>
  <c r="I8" i="16" s="1"/>
  <c r="H8" i="16" a="1"/>
  <c r="H8" i="16" s="1"/>
  <c r="G8" i="16" a="1"/>
  <c r="G8" i="16" s="1"/>
  <c r="A8" i="16" a="1"/>
  <c r="A8" i="16" s="1"/>
  <c r="C2" i="19"/>
  <c r="A2" i="7"/>
  <c r="A2" i="5"/>
  <c r="A2" i="6"/>
  <c r="A2" i="4"/>
  <c r="A2" i="16" l="1"/>
  <c r="A1" i="16"/>
  <c r="A2" i="10" l="1"/>
  <c r="A2" i="9"/>
  <c r="A2" i="8"/>
</calcChain>
</file>

<file path=xl/comments1.xml><?xml version="1.0" encoding="utf-8"?>
<comments xmlns="http://schemas.openxmlformats.org/spreadsheetml/2006/main">
  <authors>
    <author>Ronald Felipe TrujIllo Garzon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El código del facturador electrónico en salud se encuentra en"IPSCodHabilitación"en web.sispro.gov.co
para
prestadores de servicios de salud o
en "IPSnoREPS"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Se encuentra en la tabla "CUPSRips "en web.sispro.gov.co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</commentList>
</comments>
</file>

<file path=xl/comments2.xml><?xml version="1.0" encoding="utf-8"?>
<comments xmlns="http://schemas.openxmlformats.org/spreadsheetml/2006/main">
  <authors>
    <author>Ronald Felipe TrujIllo Garzon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El código del facturador electrónico en salud se encuentra en"IPSCodHabilitación"en web.sispro.gov.co
para
prestadores de servicios de salud o
en "IPSnoREPS"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</commentList>
</comments>
</file>

<file path=xl/comments3.xml><?xml version="1.0" encoding="utf-8"?>
<comments xmlns="http://schemas.openxmlformats.org/spreadsheetml/2006/main">
  <authors>
    <author>Ronald Felipe TrujIllo Garzon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El código del facturador electrónico en salud se encuentra en"IPSCodHabilitación"en web.sispro.gov.co
para
prestadores de servicios de salud o
en "IPSnoREPS"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Se encuentra en la tabla "CUPSRips "en web.sispro.gov.co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Se encuentra en la tabla "Servicios "en web.sispro.gov.co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</commentList>
</comments>
</file>

<file path=xl/comments4.xml><?xml version="1.0" encoding="utf-8"?>
<comments xmlns="http://schemas.openxmlformats.org/spreadsheetml/2006/main">
  <authors>
    <author>Ronald Felipe TrujIllo Garzon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El código del facturador electrónico en salud se encuentra en"IPSCodHabilitación"en web.sispro.gov.co
para
prestadores de servicios de salud o
en "IPSnoREPS"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</commentList>
</comments>
</file>

<file path=xl/comments5.xml><?xml version="1.0" encoding="utf-8"?>
<comments xmlns="http://schemas.openxmlformats.org/spreadsheetml/2006/main">
  <authors>
    <author>Ronald Felipe TrujIllo Garzon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El código del facturador electrónico en salud se encuentra en 
web.sispro.gov.co
"IPSCodHabilitación" para prestadores de servicios de salud o 
"IPSnoREPS"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</text>
    </comment>
  </commentList>
</comments>
</file>

<file path=xl/comments6.xml><?xml version="1.0" encoding="utf-8"?>
<comments xmlns="http://schemas.openxmlformats.org/spreadsheetml/2006/main">
  <authors>
    <author>Ronald Felipe TrujIllo Garzon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El código del facturador electrónico en salud se encuentra en"IPSCodHabilitación"en web.sispro.gov.co
para
prestadores de servicios de salud o
en "IPSnoREPS"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Se encuentra en la tabla "CIE10 "en web.sispro.gov.co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Se encuentra en la tabla "IUM "en web.sispro.gov.co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Se encuentra en la tabla "DCI"en web.sispro.gov.co</t>
        </r>
      </text>
    </comment>
  </commentList>
</comments>
</file>

<file path=xl/comments7.xml><?xml version="1.0" encoding="utf-8"?>
<comments xmlns="http://schemas.openxmlformats.org/spreadsheetml/2006/main">
  <authors>
    <author>Ronald Felipe TrujIllo Garzon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El código del facturador electrónico en salud se encuentra en"IPSCodHabilitación"en web.sispro.gov.co
para
prestadores de servicios de salud o
en "IPSnoREPS"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Se encuentra en la tabla "CUPSRips "en web.sispro.gov.co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<sst xmlns="http://schemas.openxmlformats.org/spreadsheetml/2006/main" count="5123" uniqueCount="2232">
  <si>
    <t>numDocumentoIdObligado</t>
  </si>
  <si>
    <t>numFactura</t>
  </si>
  <si>
    <t>tipoNota</t>
  </si>
  <si>
    <t>numNota</t>
  </si>
  <si>
    <t>tipoUsuario</t>
  </si>
  <si>
    <t>fechaNacimiento</t>
  </si>
  <si>
    <t>codSexo</t>
  </si>
  <si>
    <t>codPaisResidencia</t>
  </si>
  <si>
    <t>codMunicipioResidencia</t>
  </si>
  <si>
    <t>codZonaTerritorialResidencia</t>
  </si>
  <si>
    <t>incapacidad</t>
  </si>
  <si>
    <t>codPaisOrigen</t>
  </si>
  <si>
    <t>grupoServicios</t>
  </si>
  <si>
    <t>codServicio</t>
  </si>
  <si>
    <t>FinalidadTecnologiaSalud</t>
  </si>
  <si>
    <t>causaMotivoAtencion</t>
  </si>
  <si>
    <t>codDiagnosticoPrincipal</t>
  </si>
  <si>
    <t>codDiagnosticoRelacionado1</t>
  </si>
  <si>
    <t>codDiagnosticoRelacionado2</t>
  </si>
  <si>
    <t>codDiagnosticoRelacionado3</t>
  </si>
  <si>
    <t>tipoDiagnosticoPrincipal</t>
  </si>
  <si>
    <t>tipoDocumentoIdentificacion</t>
  </si>
  <si>
    <t>numDocumentoIdentificacion</t>
  </si>
  <si>
    <t>vrServicio</t>
  </si>
  <si>
    <t>conceptoRecaudo</t>
  </si>
  <si>
    <t>valorPagoModerador</t>
  </si>
  <si>
    <t>numFEVPagoModerador</t>
  </si>
  <si>
    <t>codPrestador</t>
  </si>
  <si>
    <t>fechaInicioAtencion</t>
  </si>
  <si>
    <t>idMIPRES</t>
  </si>
  <si>
    <t>codProcedimiento</t>
  </si>
  <si>
    <t>viaIngresoServicioSalud</t>
  </si>
  <si>
    <t>modalidadGrupoServicioTecSal</t>
  </si>
  <si>
    <t>finalidadTecnologiaSalud</t>
  </si>
  <si>
    <t>codDiagnosticoRelacionado</t>
  </si>
  <si>
    <t>codComplicacion</t>
  </si>
  <si>
    <t>codDiagnosticoPrincipalE</t>
  </si>
  <si>
    <t>codDiagnosticoRelacionadoE1</t>
  </si>
  <si>
    <t>codDiagnosticoRelacionadoE2</t>
  </si>
  <si>
    <t>codDiagnosticoRelacionadoE3</t>
  </si>
  <si>
    <t>condicionDestinoUsuarioEgreso</t>
  </si>
  <si>
    <t>codDiagnosticoCausaMuerte</t>
  </si>
  <si>
    <t>fechaEgreso</t>
  </si>
  <si>
    <t>numAutorizacion</t>
  </si>
  <si>
    <t>edadGestacional</t>
  </si>
  <si>
    <t>numConsultasCPrenatal</t>
  </si>
  <si>
    <t>codSexoBiologico</t>
  </si>
  <si>
    <t>peso</t>
  </si>
  <si>
    <t>fechaDispensAdmon</t>
  </si>
  <si>
    <t>tipoMedicamento</t>
  </si>
  <si>
    <t>codTecnologiaSalud</t>
  </si>
  <si>
    <t>nomTecnologiaSalud</t>
  </si>
  <si>
    <t>concentracionMedicamento</t>
  </si>
  <si>
    <t>unidadMedida</t>
  </si>
  <si>
    <t>formaFarmaceutica</t>
  </si>
  <si>
    <t>unidadMinDispensa</t>
  </si>
  <si>
    <t>cantidadMedicamento</t>
  </si>
  <si>
    <t>diasTratamiento</t>
  </si>
  <si>
    <t>vrUnitMedicamento</t>
  </si>
  <si>
    <t>fechaSuministroTecnologia</t>
  </si>
  <si>
    <t>tipoOS</t>
  </si>
  <si>
    <t>cantidadOS</t>
  </si>
  <si>
    <t>vrUnitOS</t>
  </si>
  <si>
    <t>codConsulta</t>
  </si>
  <si>
    <t>Transaccion</t>
  </si>
  <si>
    <t>Usuario</t>
  </si>
  <si>
    <t>Consulta</t>
  </si>
  <si>
    <t>Procedimientos</t>
  </si>
  <si>
    <t>Urgencias</t>
  </si>
  <si>
    <t>Hospitalizacion</t>
  </si>
  <si>
    <t>Medicamentos</t>
  </si>
  <si>
    <t>T03</t>
  </si>
  <si>
    <t>U01</t>
  </si>
  <si>
    <t>U03</t>
  </si>
  <si>
    <t>U05</t>
  </si>
  <si>
    <t>U06</t>
  </si>
  <si>
    <t>U07</t>
  </si>
  <si>
    <t>U08</t>
  </si>
  <si>
    <t>U09</t>
  </si>
  <si>
    <t>U11</t>
  </si>
  <si>
    <t>C05</t>
  </si>
  <si>
    <t>C06</t>
  </si>
  <si>
    <t>C07</t>
  </si>
  <si>
    <t>C08</t>
  </si>
  <si>
    <t>C09</t>
  </si>
  <si>
    <t>C14</t>
  </si>
  <si>
    <t>C15</t>
  </si>
  <si>
    <t>C18</t>
  </si>
  <si>
    <t>P06</t>
  </si>
  <si>
    <t>P07</t>
  </si>
  <si>
    <t>P08</t>
  </si>
  <si>
    <t>P10</t>
  </si>
  <si>
    <t>P11</t>
  </si>
  <si>
    <t>P17</t>
  </si>
  <si>
    <t>R03</t>
  </si>
  <si>
    <t>R09</t>
  </si>
  <si>
    <t>H02</t>
  </si>
  <si>
    <t>H05</t>
  </si>
  <si>
    <t>H12</t>
  </si>
  <si>
    <t>N02</t>
  </si>
  <si>
    <t>N07</t>
  </si>
  <si>
    <t>N10</t>
  </si>
  <si>
    <t>M07</t>
  </si>
  <si>
    <t>M11</t>
  </si>
  <si>
    <t>M12</t>
  </si>
  <si>
    <t>M13</t>
  </si>
  <si>
    <t>M16</t>
  </si>
  <si>
    <t>M20</t>
  </si>
  <si>
    <t>S05</t>
  </si>
  <si>
    <t>S09</t>
  </si>
  <si>
    <t>14</t>
  </si>
  <si>
    <t>20</t>
  </si>
  <si>
    <t>13</t>
  </si>
  <si>
    <t>12</t>
  </si>
  <si>
    <t>19</t>
  </si>
  <si>
    <t>15</t>
  </si>
  <si>
    <t>44</t>
  </si>
  <si>
    <t>38</t>
  </si>
  <si>
    <t>24</t>
  </si>
  <si>
    <t>17</t>
  </si>
  <si>
    <t>18</t>
  </si>
  <si>
    <t xml:space="preserve"> </t>
  </si>
  <si>
    <t>NA</t>
  </si>
  <si>
    <t>CN</t>
  </si>
  <si>
    <t>01</t>
  </si>
  <si>
    <t>H</t>
  </si>
  <si>
    <t>004</t>
  </si>
  <si>
    <t>NO</t>
  </si>
  <si>
    <t>21</t>
  </si>
  <si>
    <t>CC</t>
  </si>
  <si>
    <t>02</t>
  </si>
  <si>
    <t>AS</t>
  </si>
  <si>
    <t>C28944</t>
  </si>
  <si>
    <t>NC</t>
  </si>
  <si>
    <t>RC</t>
  </si>
  <si>
    <t>I</t>
  </si>
  <si>
    <t>008</t>
  </si>
  <si>
    <t>05001</t>
  </si>
  <si>
    <t>SI</t>
  </si>
  <si>
    <t>22</t>
  </si>
  <si>
    <t>CD</t>
  </si>
  <si>
    <t>03</t>
  </si>
  <si>
    <t>C29167</t>
  </si>
  <si>
    <t>ND</t>
  </si>
  <si>
    <t>TI</t>
  </si>
  <si>
    <t>M</t>
  </si>
  <si>
    <t>010</t>
  </si>
  <si>
    <t>05002</t>
  </si>
  <si>
    <t>23</t>
  </si>
  <si>
    <t>CE</t>
  </si>
  <si>
    <t>05</t>
  </si>
  <si>
    <t>100</t>
  </si>
  <si>
    <t>C29269</t>
  </si>
  <si>
    <t>04</t>
  </si>
  <si>
    <t>012</t>
  </si>
  <si>
    <t>05004</t>
  </si>
  <si>
    <t>16</t>
  </si>
  <si>
    <t>PA</t>
  </si>
  <si>
    <t>C42887</t>
  </si>
  <si>
    <t>016</t>
  </si>
  <si>
    <t>05021</t>
  </si>
  <si>
    <t>06</t>
  </si>
  <si>
    <t>25</t>
  </si>
  <si>
    <t>SC</t>
  </si>
  <si>
    <t>C42902</t>
  </si>
  <si>
    <t>020</t>
  </si>
  <si>
    <t>05030</t>
  </si>
  <si>
    <t>07</t>
  </si>
  <si>
    <t>26</t>
  </si>
  <si>
    <t>PE</t>
  </si>
  <si>
    <t>DE</t>
  </si>
  <si>
    <t>C42905</t>
  </si>
  <si>
    <t>024</t>
  </si>
  <si>
    <t>05031</t>
  </si>
  <si>
    <t>08</t>
  </si>
  <si>
    <t>27</t>
  </si>
  <si>
    <t>MS</t>
  </si>
  <si>
    <t>104</t>
  </si>
  <si>
    <t>C42909</t>
  </si>
  <si>
    <t>028</t>
  </si>
  <si>
    <t>05034</t>
  </si>
  <si>
    <t>09</t>
  </si>
  <si>
    <t>28</t>
  </si>
  <si>
    <t>PT</t>
  </si>
  <si>
    <t>C42912</t>
  </si>
  <si>
    <t>031</t>
  </si>
  <si>
    <t>05036</t>
  </si>
  <si>
    <t>29</t>
  </si>
  <si>
    <t>NV</t>
  </si>
  <si>
    <t>C42914</t>
  </si>
  <si>
    <t>032</t>
  </si>
  <si>
    <t>05038</t>
  </si>
  <si>
    <t>30</t>
  </si>
  <si>
    <t>C42916</t>
  </si>
  <si>
    <t>036</t>
  </si>
  <si>
    <t>05040</t>
  </si>
  <si>
    <t>31</t>
  </si>
  <si>
    <t>C42927</t>
  </si>
  <si>
    <t>040</t>
  </si>
  <si>
    <t>05042</t>
  </si>
  <si>
    <t>120</t>
  </si>
  <si>
    <t>32</t>
  </si>
  <si>
    <t>C42932</t>
  </si>
  <si>
    <t>044</t>
  </si>
  <si>
    <t>05044</t>
  </si>
  <si>
    <t>33</t>
  </si>
  <si>
    <t>C42933</t>
  </si>
  <si>
    <t>048</t>
  </si>
  <si>
    <t>05045</t>
  </si>
  <si>
    <t>34</t>
  </si>
  <si>
    <t>C42938</t>
  </si>
  <si>
    <t>050</t>
  </si>
  <si>
    <t>05051</t>
  </si>
  <si>
    <t>43</t>
  </si>
  <si>
    <t>35</t>
  </si>
  <si>
    <t>C42941</t>
  </si>
  <si>
    <t>051</t>
  </si>
  <si>
    <t>05055</t>
  </si>
  <si>
    <t>36</t>
  </si>
  <si>
    <t>112</t>
  </si>
  <si>
    <t>C42942</t>
  </si>
  <si>
    <t>052</t>
  </si>
  <si>
    <t>05059</t>
  </si>
  <si>
    <t>37</t>
  </si>
  <si>
    <t>C42948</t>
  </si>
  <si>
    <t>056</t>
  </si>
  <si>
    <t>05079</t>
  </si>
  <si>
    <t>C42953</t>
  </si>
  <si>
    <t>060</t>
  </si>
  <si>
    <t>05086</t>
  </si>
  <si>
    <t>39</t>
  </si>
  <si>
    <t>C42966</t>
  </si>
  <si>
    <t>064</t>
  </si>
  <si>
    <t>05088</t>
  </si>
  <si>
    <t>40</t>
  </si>
  <si>
    <t>C42967</t>
  </si>
  <si>
    <t>068</t>
  </si>
  <si>
    <t>05091</t>
  </si>
  <si>
    <t>41</t>
  </si>
  <si>
    <t>C42968</t>
  </si>
  <si>
    <t>070</t>
  </si>
  <si>
    <t>05093</t>
  </si>
  <si>
    <t>42</t>
  </si>
  <si>
    <t>C42969</t>
  </si>
  <si>
    <t>072</t>
  </si>
  <si>
    <t>05101</t>
  </si>
  <si>
    <t>C42983</t>
  </si>
  <si>
    <t>074</t>
  </si>
  <si>
    <t>05107</t>
  </si>
  <si>
    <t>C42989</t>
  </si>
  <si>
    <t>05113</t>
  </si>
  <si>
    <t>45</t>
  </si>
  <si>
    <t>C42993</t>
  </si>
  <si>
    <t>084</t>
  </si>
  <si>
    <t>05120</t>
  </si>
  <si>
    <t>46</t>
  </si>
  <si>
    <t>C42994</t>
  </si>
  <si>
    <t>086</t>
  </si>
  <si>
    <t>05125</t>
  </si>
  <si>
    <t>47</t>
  </si>
  <si>
    <t>C42996</t>
  </si>
  <si>
    <t>090</t>
  </si>
  <si>
    <t>05129</t>
  </si>
  <si>
    <t>48</t>
  </si>
  <si>
    <t>C43000</t>
  </si>
  <si>
    <t>092</t>
  </si>
  <si>
    <t>05134</t>
  </si>
  <si>
    <t>124</t>
  </si>
  <si>
    <t>C47913</t>
  </si>
  <si>
    <t>05138</t>
  </si>
  <si>
    <t>C47914</t>
  </si>
  <si>
    <t>05142</t>
  </si>
  <si>
    <t>C47915</t>
  </si>
  <si>
    <t>05145</t>
  </si>
  <si>
    <t>C64898</t>
  </si>
  <si>
    <t>05147</t>
  </si>
  <si>
    <t>C64904</t>
  </si>
  <si>
    <t>05148</t>
  </si>
  <si>
    <t>C64909</t>
  </si>
  <si>
    <t>05150</t>
  </si>
  <si>
    <t>C69031</t>
  </si>
  <si>
    <t>05154</t>
  </si>
  <si>
    <t>C91199</t>
  </si>
  <si>
    <t>05172</t>
  </si>
  <si>
    <t>C91200</t>
  </si>
  <si>
    <t>05190</t>
  </si>
  <si>
    <t>COLFF001</t>
  </si>
  <si>
    <t>136</t>
  </si>
  <si>
    <t>05197</t>
  </si>
  <si>
    <t>COLFF002</t>
  </si>
  <si>
    <t>140</t>
  </si>
  <si>
    <t>05206</t>
  </si>
  <si>
    <t>COLFF003</t>
  </si>
  <si>
    <t>144</t>
  </si>
  <si>
    <t>05209</t>
  </si>
  <si>
    <t>COLFF004</t>
  </si>
  <si>
    <t>148</t>
  </si>
  <si>
    <t>05212</t>
  </si>
  <si>
    <t>COLFF005</t>
  </si>
  <si>
    <t>152</t>
  </si>
  <si>
    <t>05234</t>
  </si>
  <si>
    <t>COLFF006</t>
  </si>
  <si>
    <t>156</t>
  </si>
  <si>
    <t>05237</t>
  </si>
  <si>
    <t>COLFF007</t>
  </si>
  <si>
    <t>05240</t>
  </si>
  <si>
    <t>COLFF008</t>
  </si>
  <si>
    <t>05250</t>
  </si>
  <si>
    <t>COLFF009</t>
  </si>
  <si>
    <t>166</t>
  </si>
  <si>
    <t>05264</t>
  </si>
  <si>
    <t>COLFF010</t>
  </si>
  <si>
    <t>170</t>
  </si>
  <si>
    <t>05266</t>
  </si>
  <si>
    <t>304</t>
  </si>
  <si>
    <t>174</t>
  </si>
  <si>
    <t>05282</t>
  </si>
  <si>
    <t>175</t>
  </si>
  <si>
    <t>05284</t>
  </si>
  <si>
    <t>178</t>
  </si>
  <si>
    <t>05306</t>
  </si>
  <si>
    <t>180</t>
  </si>
  <si>
    <t>05308</t>
  </si>
  <si>
    <t>05310</t>
  </si>
  <si>
    <t>05313</t>
  </si>
  <si>
    <t>312</t>
  </si>
  <si>
    <t>05315</t>
  </si>
  <si>
    <t>192</t>
  </si>
  <si>
    <t>05318</t>
  </si>
  <si>
    <t>316</t>
  </si>
  <si>
    <t>05321</t>
  </si>
  <si>
    <t>05347</t>
  </si>
  <si>
    <t>05353</t>
  </si>
  <si>
    <t>320</t>
  </si>
  <si>
    <t>05360</t>
  </si>
  <si>
    <t>05361</t>
  </si>
  <si>
    <t>05364</t>
  </si>
  <si>
    <t>05368</t>
  </si>
  <si>
    <t>05376</t>
  </si>
  <si>
    <t>05380</t>
  </si>
  <si>
    <t>05390</t>
  </si>
  <si>
    <t>05400</t>
  </si>
  <si>
    <t>05411</t>
  </si>
  <si>
    <t>05425</t>
  </si>
  <si>
    <t>05440</t>
  </si>
  <si>
    <t>05467</t>
  </si>
  <si>
    <t>05475</t>
  </si>
  <si>
    <t>246</t>
  </si>
  <si>
    <t>05480</t>
  </si>
  <si>
    <t>248</t>
  </si>
  <si>
    <t>05483</t>
  </si>
  <si>
    <t>250</t>
  </si>
  <si>
    <t>05490</t>
  </si>
  <si>
    <t>254</t>
  </si>
  <si>
    <t>05495</t>
  </si>
  <si>
    <t>258</t>
  </si>
  <si>
    <t>05501</t>
  </si>
  <si>
    <t>05541</t>
  </si>
  <si>
    <t>05543</t>
  </si>
  <si>
    <t>266</t>
  </si>
  <si>
    <t>05576</t>
  </si>
  <si>
    <t>05579</t>
  </si>
  <si>
    <t>344</t>
  </si>
  <si>
    <t>05585</t>
  </si>
  <si>
    <t>05591</t>
  </si>
  <si>
    <t>05604</t>
  </si>
  <si>
    <t>288</t>
  </si>
  <si>
    <t>05607</t>
  </si>
  <si>
    <t>292</t>
  </si>
  <si>
    <t>05615</t>
  </si>
  <si>
    <t>296</t>
  </si>
  <si>
    <t>05628</t>
  </si>
  <si>
    <t>300</t>
  </si>
  <si>
    <t>05631</t>
  </si>
  <si>
    <t>05642</t>
  </si>
  <si>
    <t>05647</t>
  </si>
  <si>
    <t>05649</t>
  </si>
  <si>
    <t>05652</t>
  </si>
  <si>
    <t>364</t>
  </si>
  <si>
    <t>05656</t>
  </si>
  <si>
    <t>05658</t>
  </si>
  <si>
    <t>05659</t>
  </si>
  <si>
    <t>05660</t>
  </si>
  <si>
    <t>05664</t>
  </si>
  <si>
    <t>05665</t>
  </si>
  <si>
    <t>05667</t>
  </si>
  <si>
    <t>05670</t>
  </si>
  <si>
    <t>05674</t>
  </si>
  <si>
    <t>352</t>
  </si>
  <si>
    <t>05679</t>
  </si>
  <si>
    <t>05686</t>
  </si>
  <si>
    <t>360</t>
  </si>
  <si>
    <t>05690</t>
  </si>
  <si>
    <t>05697</t>
  </si>
  <si>
    <t>05736</t>
  </si>
  <si>
    <t>05756</t>
  </si>
  <si>
    <t>384</t>
  </si>
  <si>
    <t>376</t>
  </si>
  <si>
    <t>05761</t>
  </si>
  <si>
    <t>380</t>
  </si>
  <si>
    <t>05789</t>
  </si>
  <si>
    <t>05790</t>
  </si>
  <si>
    <t>388</t>
  </si>
  <si>
    <t>05792</t>
  </si>
  <si>
    <t>392</t>
  </si>
  <si>
    <t>05809</t>
  </si>
  <si>
    <t>398</t>
  </si>
  <si>
    <t>05819</t>
  </si>
  <si>
    <t>400</t>
  </si>
  <si>
    <t>05837</t>
  </si>
  <si>
    <t>404</t>
  </si>
  <si>
    <t>05842</t>
  </si>
  <si>
    <t>408</t>
  </si>
  <si>
    <t>05847</t>
  </si>
  <si>
    <t>410</t>
  </si>
  <si>
    <t>05854</t>
  </si>
  <si>
    <t>414</t>
  </si>
  <si>
    <t>05856</t>
  </si>
  <si>
    <t>05858</t>
  </si>
  <si>
    <t>418</t>
  </si>
  <si>
    <t>05861</t>
  </si>
  <si>
    <t>422</t>
  </si>
  <si>
    <t>05873</t>
  </si>
  <si>
    <t>426</t>
  </si>
  <si>
    <t>05885</t>
  </si>
  <si>
    <t>428</t>
  </si>
  <si>
    <t>05887</t>
  </si>
  <si>
    <t>05890</t>
  </si>
  <si>
    <t>434</t>
  </si>
  <si>
    <t>05893</t>
  </si>
  <si>
    <t>05895</t>
  </si>
  <si>
    <t>440</t>
  </si>
  <si>
    <t>08001</t>
  </si>
  <si>
    <t>442</t>
  </si>
  <si>
    <t>08078</t>
  </si>
  <si>
    <t>446</t>
  </si>
  <si>
    <t>08137</t>
  </si>
  <si>
    <t>450</t>
  </si>
  <si>
    <t>08141</t>
  </si>
  <si>
    <t>454</t>
  </si>
  <si>
    <t>08296</t>
  </si>
  <si>
    <t>458</t>
  </si>
  <si>
    <t>08372</t>
  </si>
  <si>
    <t>462</t>
  </si>
  <si>
    <t>08421</t>
  </si>
  <si>
    <t>466</t>
  </si>
  <si>
    <t>08433</t>
  </si>
  <si>
    <t>470</t>
  </si>
  <si>
    <t>08436</t>
  </si>
  <si>
    <t>474</t>
  </si>
  <si>
    <t>08520</t>
  </si>
  <si>
    <t>706</t>
  </si>
  <si>
    <t>478</t>
  </si>
  <si>
    <t>08549</t>
  </si>
  <si>
    <t>480</t>
  </si>
  <si>
    <t>08558</t>
  </si>
  <si>
    <t>484</t>
  </si>
  <si>
    <t>08560</t>
  </si>
  <si>
    <t>492</t>
  </si>
  <si>
    <t>08573</t>
  </si>
  <si>
    <t>496</t>
  </si>
  <si>
    <t>08606</t>
  </si>
  <si>
    <t>498</t>
  </si>
  <si>
    <t>08634</t>
  </si>
  <si>
    <t>499</t>
  </si>
  <si>
    <t>08638</t>
  </si>
  <si>
    <t>728</t>
  </si>
  <si>
    <t>500</t>
  </si>
  <si>
    <t>08675</t>
  </si>
  <si>
    <t>729</t>
  </si>
  <si>
    <t>504</t>
  </si>
  <si>
    <t>08685</t>
  </si>
  <si>
    <t>508</t>
  </si>
  <si>
    <t>08758</t>
  </si>
  <si>
    <t>512</t>
  </si>
  <si>
    <t>08770</t>
  </si>
  <si>
    <t>516</t>
  </si>
  <si>
    <t>08832</t>
  </si>
  <si>
    <t>520</t>
  </si>
  <si>
    <t>08849</t>
  </si>
  <si>
    <t>740</t>
  </si>
  <si>
    <t>524</t>
  </si>
  <si>
    <t>11001</t>
  </si>
  <si>
    <t>528</t>
  </si>
  <si>
    <t>13001</t>
  </si>
  <si>
    <t>531</t>
  </si>
  <si>
    <t>13006</t>
  </si>
  <si>
    <t>744</t>
  </si>
  <si>
    <t>533</t>
  </si>
  <si>
    <t>13030</t>
  </si>
  <si>
    <t>534</t>
  </si>
  <si>
    <t>13042</t>
  </si>
  <si>
    <t>535</t>
  </si>
  <si>
    <t>13052</t>
  </si>
  <si>
    <t>540</t>
  </si>
  <si>
    <t>13062</t>
  </si>
  <si>
    <t>748</t>
  </si>
  <si>
    <t>548</t>
  </si>
  <si>
    <t>13074</t>
  </si>
  <si>
    <t>554</t>
  </si>
  <si>
    <t>13140</t>
  </si>
  <si>
    <t>558</t>
  </si>
  <si>
    <t>13160</t>
  </si>
  <si>
    <t>562</t>
  </si>
  <si>
    <t>13188</t>
  </si>
  <si>
    <t>566</t>
  </si>
  <si>
    <t>13212</t>
  </si>
  <si>
    <t>570</t>
  </si>
  <si>
    <t>13222</t>
  </si>
  <si>
    <t>574</t>
  </si>
  <si>
    <t>13244</t>
  </si>
  <si>
    <t>578</t>
  </si>
  <si>
    <t>13248</t>
  </si>
  <si>
    <t>580</t>
  </si>
  <si>
    <t>13268</t>
  </si>
  <si>
    <t>581</t>
  </si>
  <si>
    <t>13300</t>
  </si>
  <si>
    <t>583</t>
  </si>
  <si>
    <t>13430</t>
  </si>
  <si>
    <t>584</t>
  </si>
  <si>
    <t>13433</t>
  </si>
  <si>
    <t>585</t>
  </si>
  <si>
    <t>13440</t>
  </si>
  <si>
    <t>586</t>
  </si>
  <si>
    <t>13442</t>
  </si>
  <si>
    <t>591</t>
  </si>
  <si>
    <t>13458</t>
  </si>
  <si>
    <t>598</t>
  </si>
  <si>
    <t>13468</t>
  </si>
  <si>
    <t>600</t>
  </si>
  <si>
    <t>13473</t>
  </si>
  <si>
    <t>604</t>
  </si>
  <si>
    <t>13490</t>
  </si>
  <si>
    <t>608</t>
  </si>
  <si>
    <t>13549</t>
  </si>
  <si>
    <t>612</t>
  </si>
  <si>
    <t>13580</t>
  </si>
  <si>
    <t>616</t>
  </si>
  <si>
    <t>13600</t>
  </si>
  <si>
    <t>620</t>
  </si>
  <si>
    <t>13620</t>
  </si>
  <si>
    <t>624</t>
  </si>
  <si>
    <t>13647</t>
  </si>
  <si>
    <t>626</t>
  </si>
  <si>
    <t>13650</t>
  </si>
  <si>
    <t>630</t>
  </si>
  <si>
    <t>13654</t>
  </si>
  <si>
    <t>634</t>
  </si>
  <si>
    <t>13655</t>
  </si>
  <si>
    <t>638</t>
  </si>
  <si>
    <t>13657</t>
  </si>
  <si>
    <t>642</t>
  </si>
  <si>
    <t>13667</t>
  </si>
  <si>
    <t>643</t>
  </si>
  <si>
    <t>13670</t>
  </si>
  <si>
    <t>646</t>
  </si>
  <si>
    <t>13673</t>
  </si>
  <si>
    <t>652</t>
  </si>
  <si>
    <t>13683</t>
  </si>
  <si>
    <t>654</t>
  </si>
  <si>
    <t>13688</t>
  </si>
  <si>
    <t>659</t>
  </si>
  <si>
    <t>13744</t>
  </si>
  <si>
    <t>660</t>
  </si>
  <si>
    <t>13760</t>
  </si>
  <si>
    <t>662</t>
  </si>
  <si>
    <t>13780</t>
  </si>
  <si>
    <t>663</t>
  </si>
  <si>
    <t>13810</t>
  </si>
  <si>
    <t>666</t>
  </si>
  <si>
    <t>13836</t>
  </si>
  <si>
    <t>670</t>
  </si>
  <si>
    <t>13838</t>
  </si>
  <si>
    <t>674</t>
  </si>
  <si>
    <t>13873</t>
  </si>
  <si>
    <t>678</t>
  </si>
  <si>
    <t>13894</t>
  </si>
  <si>
    <t>682</t>
  </si>
  <si>
    <t>15001</t>
  </si>
  <si>
    <t>686</t>
  </si>
  <si>
    <t>15022</t>
  </si>
  <si>
    <t>688</t>
  </si>
  <si>
    <t>15047</t>
  </si>
  <si>
    <t>690</t>
  </si>
  <si>
    <t>15051</t>
  </si>
  <si>
    <t>694</t>
  </si>
  <si>
    <t>15087</t>
  </si>
  <si>
    <t>702</t>
  </si>
  <si>
    <t>15090</t>
  </si>
  <si>
    <t>703</t>
  </si>
  <si>
    <t>15092</t>
  </si>
  <si>
    <t>704</t>
  </si>
  <si>
    <t>15097</t>
  </si>
  <si>
    <t>705</t>
  </si>
  <si>
    <t>15104</t>
  </si>
  <si>
    <t>15106</t>
  </si>
  <si>
    <t>710</t>
  </si>
  <si>
    <t>15109</t>
  </si>
  <si>
    <t>716</t>
  </si>
  <si>
    <t>15114</t>
  </si>
  <si>
    <t>724</t>
  </si>
  <si>
    <t>15131</t>
  </si>
  <si>
    <t>15135</t>
  </si>
  <si>
    <t>15162</t>
  </si>
  <si>
    <t>732</t>
  </si>
  <si>
    <t>15172</t>
  </si>
  <si>
    <t>15176</t>
  </si>
  <si>
    <t>15180</t>
  </si>
  <si>
    <t>15183</t>
  </si>
  <si>
    <t>752</t>
  </si>
  <si>
    <t>15185</t>
  </si>
  <si>
    <t>756</t>
  </si>
  <si>
    <t>15187</t>
  </si>
  <si>
    <t>760</t>
  </si>
  <si>
    <t>15189</t>
  </si>
  <si>
    <t>762</t>
  </si>
  <si>
    <t>15204</t>
  </si>
  <si>
    <t>764</t>
  </si>
  <si>
    <t>15212</t>
  </si>
  <si>
    <t>768</t>
  </si>
  <si>
    <t>15215</t>
  </si>
  <si>
    <t>772</t>
  </si>
  <si>
    <t>15218</t>
  </si>
  <si>
    <t>776</t>
  </si>
  <si>
    <t>15223</t>
  </si>
  <si>
    <t>780</t>
  </si>
  <si>
    <t>15224</t>
  </si>
  <si>
    <t>784</t>
  </si>
  <si>
    <t>15226</t>
  </si>
  <si>
    <t>788</t>
  </si>
  <si>
    <t>15232</t>
  </si>
  <si>
    <t>792</t>
  </si>
  <si>
    <t>15236</t>
  </si>
  <si>
    <t>795</t>
  </si>
  <si>
    <t>15238</t>
  </si>
  <si>
    <t>796</t>
  </si>
  <si>
    <t>15244</t>
  </si>
  <si>
    <t>798</t>
  </si>
  <si>
    <t>15248</t>
  </si>
  <si>
    <t>800</t>
  </si>
  <si>
    <t>15272</t>
  </si>
  <si>
    <t>804</t>
  </si>
  <si>
    <t>15276</t>
  </si>
  <si>
    <t>807</t>
  </si>
  <si>
    <t>15293</t>
  </si>
  <si>
    <t>818</t>
  </si>
  <si>
    <t>15296</t>
  </si>
  <si>
    <t>826</t>
  </si>
  <si>
    <t>15299</t>
  </si>
  <si>
    <t>831</t>
  </si>
  <si>
    <t>15317</t>
  </si>
  <si>
    <t>832</t>
  </si>
  <si>
    <t>15322</t>
  </si>
  <si>
    <t>833</t>
  </si>
  <si>
    <t>15325</t>
  </si>
  <si>
    <t>834</t>
  </si>
  <si>
    <t>15332</t>
  </si>
  <si>
    <t>840</t>
  </si>
  <si>
    <t>15362</t>
  </si>
  <si>
    <t>850</t>
  </si>
  <si>
    <t>15367</t>
  </si>
  <si>
    <t>854</t>
  </si>
  <si>
    <t>15368</t>
  </si>
  <si>
    <t>858</t>
  </si>
  <si>
    <t>15377</t>
  </si>
  <si>
    <t>860</t>
  </si>
  <si>
    <t>15380</t>
  </si>
  <si>
    <t>862</t>
  </si>
  <si>
    <t>15401</t>
  </si>
  <si>
    <t>876</t>
  </si>
  <si>
    <t>15403</t>
  </si>
  <si>
    <t>882</t>
  </si>
  <si>
    <t>15407</t>
  </si>
  <si>
    <t>887</t>
  </si>
  <si>
    <t>15425</t>
  </si>
  <si>
    <t>894</t>
  </si>
  <si>
    <t>15442</t>
  </si>
  <si>
    <t>15455</t>
  </si>
  <si>
    <t>15464</t>
  </si>
  <si>
    <t>15466</t>
  </si>
  <si>
    <t>15469</t>
  </si>
  <si>
    <t>15476</t>
  </si>
  <si>
    <t>15480</t>
  </si>
  <si>
    <t>15491</t>
  </si>
  <si>
    <t>15494</t>
  </si>
  <si>
    <t>15500</t>
  </si>
  <si>
    <t>15507</t>
  </si>
  <si>
    <t>15511</t>
  </si>
  <si>
    <t>15514</t>
  </si>
  <si>
    <t>15516</t>
  </si>
  <si>
    <t>15518</t>
  </si>
  <si>
    <t>15522</t>
  </si>
  <si>
    <t>15531</t>
  </si>
  <si>
    <t>15533</t>
  </si>
  <si>
    <t>15537</t>
  </si>
  <si>
    <t>15542</t>
  </si>
  <si>
    <t>15550</t>
  </si>
  <si>
    <t>15572</t>
  </si>
  <si>
    <t>15580</t>
  </si>
  <si>
    <t>15599</t>
  </si>
  <si>
    <t>15600</t>
  </si>
  <si>
    <t>15621</t>
  </si>
  <si>
    <t>15632</t>
  </si>
  <si>
    <t>15638</t>
  </si>
  <si>
    <t>15646</t>
  </si>
  <si>
    <t>15660</t>
  </si>
  <si>
    <t>15664</t>
  </si>
  <si>
    <t>15667</t>
  </si>
  <si>
    <t>15673</t>
  </si>
  <si>
    <t>15676</t>
  </si>
  <si>
    <t>15681</t>
  </si>
  <si>
    <t>15686</t>
  </si>
  <si>
    <t>15690</t>
  </si>
  <si>
    <t>15693</t>
  </si>
  <si>
    <t>15696</t>
  </si>
  <si>
    <t>15720</t>
  </si>
  <si>
    <t>15723</t>
  </si>
  <si>
    <t>15740</t>
  </si>
  <si>
    <t>15753</t>
  </si>
  <si>
    <t>15755</t>
  </si>
  <si>
    <t>15757</t>
  </si>
  <si>
    <t>15759</t>
  </si>
  <si>
    <t>15761</t>
  </si>
  <si>
    <t>15762</t>
  </si>
  <si>
    <t>15763</t>
  </si>
  <si>
    <t>15764</t>
  </si>
  <si>
    <t>15774</t>
  </si>
  <si>
    <t>15776</t>
  </si>
  <si>
    <t>15778</t>
  </si>
  <si>
    <t>15790</t>
  </si>
  <si>
    <t>15798</t>
  </si>
  <si>
    <t>15804</t>
  </si>
  <si>
    <t>15806</t>
  </si>
  <si>
    <t>15808</t>
  </si>
  <si>
    <t>15810</t>
  </si>
  <si>
    <t>15814</t>
  </si>
  <si>
    <t>15816</t>
  </si>
  <si>
    <t>15820</t>
  </si>
  <si>
    <t>15822</t>
  </si>
  <si>
    <t>15832</t>
  </si>
  <si>
    <t>15835</t>
  </si>
  <si>
    <t>15837</t>
  </si>
  <si>
    <t>15839</t>
  </si>
  <si>
    <t>15842</t>
  </si>
  <si>
    <t>15861</t>
  </si>
  <si>
    <t>15879</t>
  </si>
  <si>
    <t>15897</t>
  </si>
  <si>
    <t>17001</t>
  </si>
  <si>
    <t>17013</t>
  </si>
  <si>
    <t>17042</t>
  </si>
  <si>
    <t>17050</t>
  </si>
  <si>
    <t>17088</t>
  </si>
  <si>
    <t>17174</t>
  </si>
  <si>
    <t>17272</t>
  </si>
  <si>
    <t>17380</t>
  </si>
  <si>
    <t>17388</t>
  </si>
  <si>
    <t>17433</t>
  </si>
  <si>
    <t>17442</t>
  </si>
  <si>
    <t>17444</t>
  </si>
  <si>
    <t>17446</t>
  </si>
  <si>
    <t>17486</t>
  </si>
  <si>
    <t>17495</t>
  </si>
  <si>
    <t>17513</t>
  </si>
  <si>
    <t>17524</t>
  </si>
  <si>
    <t>17541</t>
  </si>
  <si>
    <t>17614</t>
  </si>
  <si>
    <t>17616</t>
  </si>
  <si>
    <t>17653</t>
  </si>
  <si>
    <t>17662</t>
  </si>
  <si>
    <t>17665</t>
  </si>
  <si>
    <t>17777</t>
  </si>
  <si>
    <t>17867</t>
  </si>
  <si>
    <t>17873</t>
  </si>
  <si>
    <t>17877</t>
  </si>
  <si>
    <t>18001</t>
  </si>
  <si>
    <t>18029</t>
  </si>
  <si>
    <t>18094</t>
  </si>
  <si>
    <t>18150</t>
  </si>
  <si>
    <t>18205</t>
  </si>
  <si>
    <t>18247</t>
  </si>
  <si>
    <t>18256</t>
  </si>
  <si>
    <t>18410</t>
  </si>
  <si>
    <t>18460</t>
  </si>
  <si>
    <t>18479</t>
  </si>
  <si>
    <t>18592</t>
  </si>
  <si>
    <t>18610</t>
  </si>
  <si>
    <t>18753</t>
  </si>
  <si>
    <t>18756</t>
  </si>
  <si>
    <t>18785</t>
  </si>
  <si>
    <t>18860</t>
  </si>
  <si>
    <t>19001</t>
  </si>
  <si>
    <t>19022</t>
  </si>
  <si>
    <t>19050</t>
  </si>
  <si>
    <t>19075</t>
  </si>
  <si>
    <t>19100</t>
  </si>
  <si>
    <t>19110</t>
  </si>
  <si>
    <t>19130</t>
  </si>
  <si>
    <t>19137</t>
  </si>
  <si>
    <t>19142</t>
  </si>
  <si>
    <t>19212</t>
  </si>
  <si>
    <t>19256</t>
  </si>
  <si>
    <t>19290</t>
  </si>
  <si>
    <t>19300</t>
  </si>
  <si>
    <t>19318</t>
  </si>
  <si>
    <t>19355</t>
  </si>
  <si>
    <t>19364</t>
  </si>
  <si>
    <t>19392</t>
  </si>
  <si>
    <t>19397</t>
  </si>
  <si>
    <t>19418</t>
  </si>
  <si>
    <t>19450</t>
  </si>
  <si>
    <t>19455</t>
  </si>
  <si>
    <t>19473</t>
  </si>
  <si>
    <t>19513</t>
  </si>
  <si>
    <t>19517</t>
  </si>
  <si>
    <t>19532</t>
  </si>
  <si>
    <t>19533</t>
  </si>
  <si>
    <t>19548</t>
  </si>
  <si>
    <t>19573</t>
  </si>
  <si>
    <t>19585</t>
  </si>
  <si>
    <t>19622</t>
  </si>
  <si>
    <t>19693</t>
  </si>
  <si>
    <t>19698</t>
  </si>
  <si>
    <t>19701</t>
  </si>
  <si>
    <t>19743</t>
  </si>
  <si>
    <t>19760</t>
  </si>
  <si>
    <t>19780</t>
  </si>
  <si>
    <t>19785</t>
  </si>
  <si>
    <t>19807</t>
  </si>
  <si>
    <t>19809</t>
  </si>
  <si>
    <t>19821</t>
  </si>
  <si>
    <t>19824</t>
  </si>
  <si>
    <t>19845</t>
  </si>
  <si>
    <t>20001</t>
  </si>
  <si>
    <t>20011</t>
  </si>
  <si>
    <t>20013</t>
  </si>
  <si>
    <t>20032</t>
  </si>
  <si>
    <t>20045</t>
  </si>
  <si>
    <t>20060</t>
  </si>
  <si>
    <t>20175</t>
  </si>
  <si>
    <t>20178</t>
  </si>
  <si>
    <t>20228</t>
  </si>
  <si>
    <t>20238</t>
  </si>
  <si>
    <t>20250</t>
  </si>
  <si>
    <t>20295</t>
  </si>
  <si>
    <t>20310</t>
  </si>
  <si>
    <t>20383</t>
  </si>
  <si>
    <t>20400</t>
  </si>
  <si>
    <t>20443</t>
  </si>
  <si>
    <t>20517</t>
  </si>
  <si>
    <t>20550</t>
  </si>
  <si>
    <t>20570</t>
  </si>
  <si>
    <t>20614</t>
  </si>
  <si>
    <t>20621</t>
  </si>
  <si>
    <t>20710</t>
  </si>
  <si>
    <t>20750</t>
  </si>
  <si>
    <t>20770</t>
  </si>
  <si>
    <t>20787</t>
  </si>
  <si>
    <t>23001</t>
  </si>
  <si>
    <t>23068</t>
  </si>
  <si>
    <t>23079</t>
  </si>
  <si>
    <t>23090</t>
  </si>
  <si>
    <t>23162</t>
  </si>
  <si>
    <t>23168</t>
  </si>
  <si>
    <t>23182</t>
  </si>
  <si>
    <t>23189</t>
  </si>
  <si>
    <t>23300</t>
  </si>
  <si>
    <t>23350</t>
  </si>
  <si>
    <t>23417</t>
  </si>
  <si>
    <t>23419</t>
  </si>
  <si>
    <t>23464</t>
  </si>
  <si>
    <t>23466</t>
  </si>
  <si>
    <t>23500</t>
  </si>
  <si>
    <t>23555</t>
  </si>
  <si>
    <t>23570</t>
  </si>
  <si>
    <t>23574</t>
  </si>
  <si>
    <t>23580</t>
  </si>
  <si>
    <t>23586</t>
  </si>
  <si>
    <t>23660</t>
  </si>
  <si>
    <t>23670</t>
  </si>
  <si>
    <t>23672</t>
  </si>
  <si>
    <t>23675</t>
  </si>
  <si>
    <t>23678</t>
  </si>
  <si>
    <t>23682</t>
  </si>
  <si>
    <t>23686</t>
  </si>
  <si>
    <t>23807</t>
  </si>
  <si>
    <t>23815</t>
  </si>
  <si>
    <t>23855</t>
  </si>
  <si>
    <t>25001</t>
  </si>
  <si>
    <t>25019</t>
  </si>
  <si>
    <t>25035</t>
  </si>
  <si>
    <t>25040</t>
  </si>
  <si>
    <t>25053</t>
  </si>
  <si>
    <t>25086</t>
  </si>
  <si>
    <t>25095</t>
  </si>
  <si>
    <t>25099</t>
  </si>
  <si>
    <t>25120</t>
  </si>
  <si>
    <t>25123</t>
  </si>
  <si>
    <t>25126</t>
  </si>
  <si>
    <t>25148</t>
  </si>
  <si>
    <t>25151</t>
  </si>
  <si>
    <t>25154</t>
  </si>
  <si>
    <t>25168</t>
  </si>
  <si>
    <t>25175</t>
  </si>
  <si>
    <t>25178</t>
  </si>
  <si>
    <t>25181</t>
  </si>
  <si>
    <t>25183</t>
  </si>
  <si>
    <t>25200</t>
  </si>
  <si>
    <t>25214</t>
  </si>
  <si>
    <t>25224</t>
  </si>
  <si>
    <t>25245</t>
  </si>
  <si>
    <t>25258</t>
  </si>
  <si>
    <t>25260</t>
  </si>
  <si>
    <t>25269</t>
  </si>
  <si>
    <t>25279</t>
  </si>
  <si>
    <t>25281</t>
  </si>
  <si>
    <t>25286</t>
  </si>
  <si>
    <t>25288</t>
  </si>
  <si>
    <t>25290</t>
  </si>
  <si>
    <t>25293</t>
  </si>
  <si>
    <t>25295</t>
  </si>
  <si>
    <t>25297</t>
  </si>
  <si>
    <t>25299</t>
  </si>
  <si>
    <t>25307</t>
  </si>
  <si>
    <t>25312</t>
  </si>
  <si>
    <t>25317</t>
  </si>
  <si>
    <t>25320</t>
  </si>
  <si>
    <t>25322</t>
  </si>
  <si>
    <t>25324</t>
  </si>
  <si>
    <t>25326</t>
  </si>
  <si>
    <t>25328</t>
  </si>
  <si>
    <t>25335</t>
  </si>
  <si>
    <t>25339</t>
  </si>
  <si>
    <t>25368</t>
  </si>
  <si>
    <t>25372</t>
  </si>
  <si>
    <t>25377</t>
  </si>
  <si>
    <t>25386</t>
  </si>
  <si>
    <t>25394</t>
  </si>
  <si>
    <t>25398</t>
  </si>
  <si>
    <t>25402</t>
  </si>
  <si>
    <t>25407</t>
  </si>
  <si>
    <t>25426</t>
  </si>
  <si>
    <t>25430</t>
  </si>
  <si>
    <t>25436</t>
  </si>
  <si>
    <t>25438</t>
  </si>
  <si>
    <t>25473</t>
  </si>
  <si>
    <t>25483</t>
  </si>
  <si>
    <t>25486</t>
  </si>
  <si>
    <t>25488</t>
  </si>
  <si>
    <t>25489</t>
  </si>
  <si>
    <t>25491</t>
  </si>
  <si>
    <t>25506</t>
  </si>
  <si>
    <t>25513</t>
  </si>
  <si>
    <t>25518</t>
  </si>
  <si>
    <t>25524</t>
  </si>
  <si>
    <t>25530</t>
  </si>
  <si>
    <t>25535</t>
  </si>
  <si>
    <t>25572</t>
  </si>
  <si>
    <t>25580</t>
  </si>
  <si>
    <t>25592</t>
  </si>
  <si>
    <t>25594</t>
  </si>
  <si>
    <t>25596</t>
  </si>
  <si>
    <t>25599</t>
  </si>
  <si>
    <t>25612</t>
  </si>
  <si>
    <t>25645</t>
  </si>
  <si>
    <t>25649</t>
  </si>
  <si>
    <t>25653</t>
  </si>
  <si>
    <t>25658</t>
  </si>
  <si>
    <t>25662</t>
  </si>
  <si>
    <t>25718</t>
  </si>
  <si>
    <t>25736</t>
  </si>
  <si>
    <t>25740</t>
  </si>
  <si>
    <t>25743</t>
  </si>
  <si>
    <t>25745</t>
  </si>
  <si>
    <t>25754</t>
  </si>
  <si>
    <t>25758</t>
  </si>
  <si>
    <t>25769</t>
  </si>
  <si>
    <t>25772</t>
  </si>
  <si>
    <t>25777</t>
  </si>
  <si>
    <t>25779</t>
  </si>
  <si>
    <t>25781</t>
  </si>
  <si>
    <t>25785</t>
  </si>
  <si>
    <t>25793</t>
  </si>
  <si>
    <t>25797</t>
  </si>
  <si>
    <t>25799</t>
  </si>
  <si>
    <t>25805</t>
  </si>
  <si>
    <t>25807</t>
  </si>
  <si>
    <t>25815</t>
  </si>
  <si>
    <t>25817</t>
  </si>
  <si>
    <t>25823</t>
  </si>
  <si>
    <t>25839</t>
  </si>
  <si>
    <t>25841</t>
  </si>
  <si>
    <t>25843</t>
  </si>
  <si>
    <t>25845</t>
  </si>
  <si>
    <t>25851</t>
  </si>
  <si>
    <t>25862</t>
  </si>
  <si>
    <t>25867</t>
  </si>
  <si>
    <t>25871</t>
  </si>
  <si>
    <t>25873</t>
  </si>
  <si>
    <t>25875</t>
  </si>
  <si>
    <t>25878</t>
  </si>
  <si>
    <t>25885</t>
  </si>
  <si>
    <t>25898</t>
  </si>
  <si>
    <t>25899</t>
  </si>
  <si>
    <t>27001</t>
  </si>
  <si>
    <t>27006</t>
  </si>
  <si>
    <t>27025</t>
  </si>
  <si>
    <t>27050</t>
  </si>
  <si>
    <t>27073</t>
  </si>
  <si>
    <t>27075</t>
  </si>
  <si>
    <t>27077</t>
  </si>
  <si>
    <t>27086</t>
  </si>
  <si>
    <t>27099</t>
  </si>
  <si>
    <t>27135</t>
  </si>
  <si>
    <t>27150</t>
  </si>
  <si>
    <t>27160</t>
  </si>
  <si>
    <t>27205</t>
  </si>
  <si>
    <t>27245</t>
  </si>
  <si>
    <t>27250</t>
  </si>
  <si>
    <t>27361</t>
  </si>
  <si>
    <t>27372</t>
  </si>
  <si>
    <t>27413</t>
  </si>
  <si>
    <t>27425</t>
  </si>
  <si>
    <t>27430</t>
  </si>
  <si>
    <t>27450</t>
  </si>
  <si>
    <t>27491</t>
  </si>
  <si>
    <t>27495</t>
  </si>
  <si>
    <t>27580</t>
  </si>
  <si>
    <t>27600</t>
  </si>
  <si>
    <t>27615</t>
  </si>
  <si>
    <t>27660</t>
  </si>
  <si>
    <t>27745</t>
  </si>
  <si>
    <t>27787</t>
  </si>
  <si>
    <t>27800</t>
  </si>
  <si>
    <t>27810</t>
  </si>
  <si>
    <t>41001</t>
  </si>
  <si>
    <t>41006</t>
  </si>
  <si>
    <t>41013</t>
  </si>
  <si>
    <t>41016</t>
  </si>
  <si>
    <t>41020</t>
  </si>
  <si>
    <t>41026</t>
  </si>
  <si>
    <t>41078</t>
  </si>
  <si>
    <t>41132</t>
  </si>
  <si>
    <t>41206</t>
  </si>
  <si>
    <t>41244</t>
  </si>
  <si>
    <t>41298</t>
  </si>
  <si>
    <t>41306</t>
  </si>
  <si>
    <t>41319</t>
  </si>
  <si>
    <t>41349</t>
  </si>
  <si>
    <t>41357</t>
  </si>
  <si>
    <t>41359</t>
  </si>
  <si>
    <t>41378</t>
  </si>
  <si>
    <t>41396</t>
  </si>
  <si>
    <t>41483</t>
  </si>
  <si>
    <t>41503</t>
  </si>
  <si>
    <t>41518</t>
  </si>
  <si>
    <t>41524</t>
  </si>
  <si>
    <t>41530</t>
  </si>
  <si>
    <t>41548</t>
  </si>
  <si>
    <t>41551</t>
  </si>
  <si>
    <t>41615</t>
  </si>
  <si>
    <t>41660</t>
  </si>
  <si>
    <t>41668</t>
  </si>
  <si>
    <t>41676</t>
  </si>
  <si>
    <t>41770</t>
  </si>
  <si>
    <t>41791</t>
  </si>
  <si>
    <t>41797</t>
  </si>
  <si>
    <t>41799</t>
  </si>
  <si>
    <t>41801</t>
  </si>
  <si>
    <t>41807</t>
  </si>
  <si>
    <t>41872</t>
  </si>
  <si>
    <t>41885</t>
  </si>
  <si>
    <t>44001</t>
  </si>
  <si>
    <t>44035</t>
  </si>
  <si>
    <t>44078</t>
  </si>
  <si>
    <t>44090</t>
  </si>
  <si>
    <t>44098</t>
  </si>
  <si>
    <t>44110</t>
  </si>
  <si>
    <t>44279</t>
  </si>
  <si>
    <t>44378</t>
  </si>
  <si>
    <t>44420</t>
  </si>
  <si>
    <t>44430</t>
  </si>
  <si>
    <t>44560</t>
  </si>
  <si>
    <t>44650</t>
  </si>
  <si>
    <t>44847</t>
  </si>
  <si>
    <t>44855</t>
  </si>
  <si>
    <t>44874</t>
  </si>
  <si>
    <t>47001</t>
  </si>
  <si>
    <t>47030</t>
  </si>
  <si>
    <t>47053</t>
  </si>
  <si>
    <t>47058</t>
  </si>
  <si>
    <t>47161</t>
  </si>
  <si>
    <t>47170</t>
  </si>
  <si>
    <t>47189</t>
  </si>
  <si>
    <t>47205</t>
  </si>
  <si>
    <t>47245</t>
  </si>
  <si>
    <t>47258</t>
  </si>
  <si>
    <t>47268</t>
  </si>
  <si>
    <t>47288</t>
  </si>
  <si>
    <t>47318</t>
  </si>
  <si>
    <t>47460</t>
  </si>
  <si>
    <t>47541</t>
  </si>
  <si>
    <t>47545</t>
  </si>
  <si>
    <t>47551</t>
  </si>
  <si>
    <t>47555</t>
  </si>
  <si>
    <t>47570</t>
  </si>
  <si>
    <t>47605</t>
  </si>
  <si>
    <t>47660</t>
  </si>
  <si>
    <t>47675</t>
  </si>
  <si>
    <t>47692</t>
  </si>
  <si>
    <t>47703</t>
  </si>
  <si>
    <t>47707</t>
  </si>
  <si>
    <t>47720</t>
  </si>
  <si>
    <t>47745</t>
  </si>
  <si>
    <t>47798</t>
  </si>
  <si>
    <t>47960</t>
  </si>
  <si>
    <t>47980</t>
  </si>
  <si>
    <t>50001</t>
  </si>
  <si>
    <t>50006</t>
  </si>
  <si>
    <t>50110</t>
  </si>
  <si>
    <t>50124</t>
  </si>
  <si>
    <t>50150</t>
  </si>
  <si>
    <t>50223</t>
  </si>
  <si>
    <t>50226</t>
  </si>
  <si>
    <t>50245</t>
  </si>
  <si>
    <t>50251</t>
  </si>
  <si>
    <t>50270</t>
  </si>
  <si>
    <t>50287</t>
  </si>
  <si>
    <t>50313</t>
  </si>
  <si>
    <t>50318</t>
  </si>
  <si>
    <t>50325</t>
  </si>
  <si>
    <t>50330</t>
  </si>
  <si>
    <t>50350</t>
  </si>
  <si>
    <t>50370</t>
  </si>
  <si>
    <t>50400</t>
  </si>
  <si>
    <t>50450</t>
  </si>
  <si>
    <t>50568</t>
  </si>
  <si>
    <t>50573</t>
  </si>
  <si>
    <t>50577</t>
  </si>
  <si>
    <t>50590</t>
  </si>
  <si>
    <t>50606</t>
  </si>
  <si>
    <t>50680</t>
  </si>
  <si>
    <t>50683</t>
  </si>
  <si>
    <t>50686</t>
  </si>
  <si>
    <t>50689</t>
  </si>
  <si>
    <t>50711</t>
  </si>
  <si>
    <t>52001</t>
  </si>
  <si>
    <t>52019</t>
  </si>
  <si>
    <t>52022</t>
  </si>
  <si>
    <t>52036</t>
  </si>
  <si>
    <t>52051</t>
  </si>
  <si>
    <t>52079</t>
  </si>
  <si>
    <t>52083</t>
  </si>
  <si>
    <t>52110</t>
  </si>
  <si>
    <t>52203</t>
  </si>
  <si>
    <t>52207</t>
  </si>
  <si>
    <t>52210</t>
  </si>
  <si>
    <t>52215</t>
  </si>
  <si>
    <t>52224</t>
  </si>
  <si>
    <t>52227</t>
  </si>
  <si>
    <t>52233</t>
  </si>
  <si>
    <t>52240</t>
  </si>
  <si>
    <t>52250</t>
  </si>
  <si>
    <t>52254</t>
  </si>
  <si>
    <t>52256</t>
  </si>
  <si>
    <t>52258</t>
  </si>
  <si>
    <t>52260</t>
  </si>
  <si>
    <t>52287</t>
  </si>
  <si>
    <t>52317</t>
  </si>
  <si>
    <t>52320</t>
  </si>
  <si>
    <t>52323</t>
  </si>
  <si>
    <t>52352</t>
  </si>
  <si>
    <t>52354</t>
  </si>
  <si>
    <t>52356</t>
  </si>
  <si>
    <t>52378</t>
  </si>
  <si>
    <t>52381</t>
  </si>
  <si>
    <t>52385</t>
  </si>
  <si>
    <t>52390</t>
  </si>
  <si>
    <t>52399</t>
  </si>
  <si>
    <t>52405</t>
  </si>
  <si>
    <t>52411</t>
  </si>
  <si>
    <t>52418</t>
  </si>
  <si>
    <t>52427</t>
  </si>
  <si>
    <t>52435</t>
  </si>
  <si>
    <t>52473</t>
  </si>
  <si>
    <t>52480</t>
  </si>
  <si>
    <t>52490</t>
  </si>
  <si>
    <t>52506</t>
  </si>
  <si>
    <t>52520</t>
  </si>
  <si>
    <t>52540</t>
  </si>
  <si>
    <t>52560</t>
  </si>
  <si>
    <t>52565</t>
  </si>
  <si>
    <t>52573</t>
  </si>
  <si>
    <t>52585</t>
  </si>
  <si>
    <t>52612</t>
  </si>
  <si>
    <t>52621</t>
  </si>
  <si>
    <t>52678</t>
  </si>
  <si>
    <t>52683</t>
  </si>
  <si>
    <t>52685</t>
  </si>
  <si>
    <t>52687</t>
  </si>
  <si>
    <t>52693</t>
  </si>
  <si>
    <t>52694</t>
  </si>
  <si>
    <t>52696</t>
  </si>
  <si>
    <t>52699</t>
  </si>
  <si>
    <t>52720</t>
  </si>
  <si>
    <t>52786</t>
  </si>
  <si>
    <t>52788</t>
  </si>
  <si>
    <t>52835</t>
  </si>
  <si>
    <t>52838</t>
  </si>
  <si>
    <t>52885</t>
  </si>
  <si>
    <t>54001</t>
  </si>
  <si>
    <t>54003</t>
  </si>
  <si>
    <t>54051</t>
  </si>
  <si>
    <t>54099</t>
  </si>
  <si>
    <t>54109</t>
  </si>
  <si>
    <t>54125</t>
  </si>
  <si>
    <t>54128</t>
  </si>
  <si>
    <t>54172</t>
  </si>
  <si>
    <t>54174</t>
  </si>
  <si>
    <t>54206</t>
  </si>
  <si>
    <t>54223</t>
  </si>
  <si>
    <t>54239</t>
  </si>
  <si>
    <t>54245</t>
  </si>
  <si>
    <t>54250</t>
  </si>
  <si>
    <t>54261</t>
  </si>
  <si>
    <t>54313</t>
  </si>
  <si>
    <t>54344</t>
  </si>
  <si>
    <t>54347</t>
  </si>
  <si>
    <t>54377</t>
  </si>
  <si>
    <t>54385</t>
  </si>
  <si>
    <t>54398</t>
  </si>
  <si>
    <t>54405</t>
  </si>
  <si>
    <t>54418</t>
  </si>
  <si>
    <t>54480</t>
  </si>
  <si>
    <t>54498</t>
  </si>
  <si>
    <t>54518</t>
  </si>
  <si>
    <t>54520</t>
  </si>
  <si>
    <t>54553</t>
  </si>
  <si>
    <t>54599</t>
  </si>
  <si>
    <t>54660</t>
  </si>
  <si>
    <t>54670</t>
  </si>
  <si>
    <t>54673</t>
  </si>
  <si>
    <t>54680</t>
  </si>
  <si>
    <t>54720</t>
  </si>
  <si>
    <t>54743</t>
  </si>
  <si>
    <t>54800</t>
  </si>
  <si>
    <t>54810</t>
  </si>
  <si>
    <t>54820</t>
  </si>
  <si>
    <t>54871</t>
  </si>
  <si>
    <t>54874</t>
  </si>
  <si>
    <t>63001</t>
  </si>
  <si>
    <t>63111</t>
  </si>
  <si>
    <t>63130</t>
  </si>
  <si>
    <t>63190</t>
  </si>
  <si>
    <t>63212</t>
  </si>
  <si>
    <t>63272</t>
  </si>
  <si>
    <t>63302</t>
  </si>
  <si>
    <t>63401</t>
  </si>
  <si>
    <t>63470</t>
  </si>
  <si>
    <t>63548</t>
  </si>
  <si>
    <t>63594</t>
  </si>
  <si>
    <t>63690</t>
  </si>
  <si>
    <t>66001</t>
  </si>
  <si>
    <t>66045</t>
  </si>
  <si>
    <t>66075</t>
  </si>
  <si>
    <t>66088</t>
  </si>
  <si>
    <t>66170</t>
  </si>
  <si>
    <t>66318</t>
  </si>
  <si>
    <t>66383</t>
  </si>
  <si>
    <t>66400</t>
  </si>
  <si>
    <t>66440</t>
  </si>
  <si>
    <t>66456</t>
  </si>
  <si>
    <t>66572</t>
  </si>
  <si>
    <t>66594</t>
  </si>
  <si>
    <t>66682</t>
  </si>
  <si>
    <t>66687</t>
  </si>
  <si>
    <t>68001</t>
  </si>
  <si>
    <t>68013</t>
  </si>
  <si>
    <t>68020</t>
  </si>
  <si>
    <t>68051</t>
  </si>
  <si>
    <t>68077</t>
  </si>
  <si>
    <t>68079</t>
  </si>
  <si>
    <t>68081</t>
  </si>
  <si>
    <t>68092</t>
  </si>
  <si>
    <t>68101</t>
  </si>
  <si>
    <t>68121</t>
  </si>
  <si>
    <t>68132</t>
  </si>
  <si>
    <t>68147</t>
  </si>
  <si>
    <t>68152</t>
  </si>
  <si>
    <t>68160</t>
  </si>
  <si>
    <t>68162</t>
  </si>
  <si>
    <t>68167</t>
  </si>
  <si>
    <t>68169</t>
  </si>
  <si>
    <t>68176</t>
  </si>
  <si>
    <t>68179</t>
  </si>
  <si>
    <t>68190</t>
  </si>
  <si>
    <t>68207</t>
  </si>
  <si>
    <t>68209</t>
  </si>
  <si>
    <t>68211</t>
  </si>
  <si>
    <t>68217</t>
  </si>
  <si>
    <t>68229</t>
  </si>
  <si>
    <t>68235</t>
  </si>
  <si>
    <t>68245</t>
  </si>
  <si>
    <t>68250</t>
  </si>
  <si>
    <t>68255</t>
  </si>
  <si>
    <t>68264</t>
  </si>
  <si>
    <t>68266</t>
  </si>
  <si>
    <t>68271</t>
  </si>
  <si>
    <t>68276</t>
  </si>
  <si>
    <t>68296</t>
  </si>
  <si>
    <t>68298</t>
  </si>
  <si>
    <t>68307</t>
  </si>
  <si>
    <t>68318</t>
  </si>
  <si>
    <t>68320</t>
  </si>
  <si>
    <t>68322</t>
  </si>
  <si>
    <t>68324</t>
  </si>
  <si>
    <t>68327</t>
  </si>
  <si>
    <t>68344</t>
  </si>
  <si>
    <t>68368</t>
  </si>
  <si>
    <t>68370</t>
  </si>
  <si>
    <t>68377</t>
  </si>
  <si>
    <t>68385</t>
  </si>
  <si>
    <t>68397</t>
  </si>
  <si>
    <t>68406</t>
  </si>
  <si>
    <t>68418</t>
  </si>
  <si>
    <t>68425</t>
  </si>
  <si>
    <t>68432</t>
  </si>
  <si>
    <t>68444</t>
  </si>
  <si>
    <t>68464</t>
  </si>
  <si>
    <t>68468</t>
  </si>
  <si>
    <t>68498</t>
  </si>
  <si>
    <t>68500</t>
  </si>
  <si>
    <t>68502</t>
  </si>
  <si>
    <t>68522</t>
  </si>
  <si>
    <t>68524</t>
  </si>
  <si>
    <t>68533</t>
  </si>
  <si>
    <t>68547</t>
  </si>
  <si>
    <t>68549</t>
  </si>
  <si>
    <t>68572</t>
  </si>
  <si>
    <t>68573</t>
  </si>
  <si>
    <t>68575</t>
  </si>
  <si>
    <t>68615</t>
  </si>
  <si>
    <t>68655</t>
  </si>
  <si>
    <t>68669</t>
  </si>
  <si>
    <t>68673</t>
  </si>
  <si>
    <t>68679</t>
  </si>
  <si>
    <t>68682</t>
  </si>
  <si>
    <t>68684</t>
  </si>
  <si>
    <t>68686</t>
  </si>
  <si>
    <t>68689</t>
  </si>
  <si>
    <t>68705</t>
  </si>
  <si>
    <t>68720</t>
  </si>
  <si>
    <t>68745</t>
  </si>
  <si>
    <t>68755</t>
  </si>
  <si>
    <t>68770</t>
  </si>
  <si>
    <t>68773</t>
  </si>
  <si>
    <t>68780</t>
  </si>
  <si>
    <t>68820</t>
  </si>
  <si>
    <t>68855</t>
  </si>
  <si>
    <t>68861</t>
  </si>
  <si>
    <t>68867</t>
  </si>
  <si>
    <t>68872</t>
  </si>
  <si>
    <t>68895</t>
  </si>
  <si>
    <t>70001</t>
  </si>
  <si>
    <t>70110</t>
  </si>
  <si>
    <t>70124</t>
  </si>
  <si>
    <t>70204</t>
  </si>
  <si>
    <t>70215</t>
  </si>
  <si>
    <t>70221</t>
  </si>
  <si>
    <t>70230</t>
  </si>
  <si>
    <t>70233</t>
  </si>
  <si>
    <t>70235</t>
  </si>
  <si>
    <t>70265</t>
  </si>
  <si>
    <t>70400</t>
  </si>
  <si>
    <t>70418</t>
  </si>
  <si>
    <t>70429</t>
  </si>
  <si>
    <t>70473</t>
  </si>
  <si>
    <t>70508</t>
  </si>
  <si>
    <t>70523</t>
  </si>
  <si>
    <t>70670</t>
  </si>
  <si>
    <t>70678</t>
  </si>
  <si>
    <t>70702</t>
  </si>
  <si>
    <t>70708</t>
  </si>
  <si>
    <t>70713</t>
  </si>
  <si>
    <t>70717</t>
  </si>
  <si>
    <t>70742</t>
  </si>
  <si>
    <t>70771</t>
  </si>
  <si>
    <t>70820</t>
  </si>
  <si>
    <t>70823</t>
  </si>
  <si>
    <t>73001</t>
  </si>
  <si>
    <t>73024</t>
  </si>
  <si>
    <t>73026</t>
  </si>
  <si>
    <t>73030</t>
  </si>
  <si>
    <t>73043</t>
  </si>
  <si>
    <t>73055</t>
  </si>
  <si>
    <t>73067</t>
  </si>
  <si>
    <t>73124</t>
  </si>
  <si>
    <t>73148</t>
  </si>
  <si>
    <t>73152</t>
  </si>
  <si>
    <t>73168</t>
  </si>
  <si>
    <t>73200</t>
  </si>
  <si>
    <t>73217</t>
  </si>
  <si>
    <t>73226</t>
  </si>
  <si>
    <t>73236</t>
  </si>
  <si>
    <t>73268</t>
  </si>
  <si>
    <t>73270</t>
  </si>
  <si>
    <t>73275</t>
  </si>
  <si>
    <t>73283</t>
  </si>
  <si>
    <t>73319</t>
  </si>
  <si>
    <t>73347</t>
  </si>
  <si>
    <t>73349</t>
  </si>
  <si>
    <t>73352</t>
  </si>
  <si>
    <t>73408</t>
  </si>
  <si>
    <t>73411</t>
  </si>
  <si>
    <t>73443</t>
  </si>
  <si>
    <t>73449</t>
  </si>
  <si>
    <t>73461</t>
  </si>
  <si>
    <t>73483</t>
  </si>
  <si>
    <t>73504</t>
  </si>
  <si>
    <t>73520</t>
  </si>
  <si>
    <t>73547</t>
  </si>
  <si>
    <t>73555</t>
  </si>
  <si>
    <t>73563</t>
  </si>
  <si>
    <t>73585</t>
  </si>
  <si>
    <t>73616</t>
  </si>
  <si>
    <t>73622</t>
  </si>
  <si>
    <t>73624</t>
  </si>
  <si>
    <t>73671</t>
  </si>
  <si>
    <t>73675</t>
  </si>
  <si>
    <t>73678</t>
  </si>
  <si>
    <t>73686</t>
  </si>
  <si>
    <t>73770</t>
  </si>
  <si>
    <t>73854</t>
  </si>
  <si>
    <t>73861</t>
  </si>
  <si>
    <t>73870</t>
  </si>
  <si>
    <t>73873</t>
  </si>
  <si>
    <t>76001</t>
  </si>
  <si>
    <t>76020</t>
  </si>
  <si>
    <t>76036</t>
  </si>
  <si>
    <t>76041</t>
  </si>
  <si>
    <t>76054</t>
  </si>
  <si>
    <t>76100</t>
  </si>
  <si>
    <t>76109</t>
  </si>
  <si>
    <t>76111</t>
  </si>
  <si>
    <t>76113</t>
  </si>
  <si>
    <t>76122</t>
  </si>
  <si>
    <t>76126</t>
  </si>
  <si>
    <t>76130</t>
  </si>
  <si>
    <t>76147</t>
  </si>
  <si>
    <t>76233</t>
  </si>
  <si>
    <t>76243</t>
  </si>
  <si>
    <t>76246</t>
  </si>
  <si>
    <t>76248</t>
  </si>
  <si>
    <t>76250</t>
  </si>
  <si>
    <t>76275</t>
  </si>
  <si>
    <t>76306</t>
  </si>
  <si>
    <t>76318</t>
  </si>
  <si>
    <t>76364</t>
  </si>
  <si>
    <t>76377</t>
  </si>
  <si>
    <t>76400</t>
  </si>
  <si>
    <t>76403</t>
  </si>
  <si>
    <t>76497</t>
  </si>
  <si>
    <t>76520</t>
  </si>
  <si>
    <t>76563</t>
  </si>
  <si>
    <t>76606</t>
  </si>
  <si>
    <t>76616</t>
  </si>
  <si>
    <t>76622</t>
  </si>
  <si>
    <t>76670</t>
  </si>
  <si>
    <t>76736</t>
  </si>
  <si>
    <t>76823</t>
  </si>
  <si>
    <t>76828</t>
  </si>
  <si>
    <t>76834</t>
  </si>
  <si>
    <t>76845</t>
  </si>
  <si>
    <t>76863</t>
  </si>
  <si>
    <t>76869</t>
  </si>
  <si>
    <t>76890</t>
  </si>
  <si>
    <t>76892</t>
  </si>
  <si>
    <t>76895</t>
  </si>
  <si>
    <t>81001</t>
  </si>
  <si>
    <t>81065</t>
  </si>
  <si>
    <t>81220</t>
  </si>
  <si>
    <t>81300</t>
  </si>
  <si>
    <t>81591</t>
  </si>
  <si>
    <t>81736</t>
  </si>
  <si>
    <t>81794</t>
  </si>
  <si>
    <t>85001</t>
  </si>
  <si>
    <t>85010</t>
  </si>
  <si>
    <t>85015</t>
  </si>
  <si>
    <t>85125</t>
  </si>
  <si>
    <t>85136</t>
  </si>
  <si>
    <t>85139</t>
  </si>
  <si>
    <t>85162</t>
  </si>
  <si>
    <t>85225</t>
  </si>
  <si>
    <t>85230</t>
  </si>
  <si>
    <t>85250</t>
  </si>
  <si>
    <t>85263</t>
  </si>
  <si>
    <t>85279</t>
  </si>
  <si>
    <t>85300</t>
  </si>
  <si>
    <t>85315</t>
  </si>
  <si>
    <t>85325</t>
  </si>
  <si>
    <t>85400</t>
  </si>
  <si>
    <t>85410</t>
  </si>
  <si>
    <t>85430</t>
  </si>
  <si>
    <t>85440</t>
  </si>
  <si>
    <t>86001</t>
  </si>
  <si>
    <t>86219</t>
  </si>
  <si>
    <t>86320</t>
  </si>
  <si>
    <t>86568</t>
  </si>
  <si>
    <t>86569</t>
  </si>
  <si>
    <t>86571</t>
  </si>
  <si>
    <t>86573</t>
  </si>
  <si>
    <t>86749</t>
  </si>
  <si>
    <t>86755</t>
  </si>
  <si>
    <t>86757</t>
  </si>
  <si>
    <t>86760</t>
  </si>
  <si>
    <t>86865</t>
  </si>
  <si>
    <t>86885</t>
  </si>
  <si>
    <t>88001</t>
  </si>
  <si>
    <t>88564</t>
  </si>
  <si>
    <t>91001</t>
  </si>
  <si>
    <t>91263</t>
  </si>
  <si>
    <t>91405</t>
  </si>
  <si>
    <t>91407</t>
  </si>
  <si>
    <t>91430</t>
  </si>
  <si>
    <t>91460</t>
  </si>
  <si>
    <t>91530</t>
  </si>
  <si>
    <t>91536</t>
  </si>
  <si>
    <t>91540</t>
  </si>
  <si>
    <t>91669</t>
  </si>
  <si>
    <t>91798</t>
  </si>
  <si>
    <t>94001</t>
  </si>
  <si>
    <t>94343</t>
  </si>
  <si>
    <t>94663</t>
  </si>
  <si>
    <t>94883</t>
  </si>
  <si>
    <t>94884</t>
  </si>
  <si>
    <t>94885</t>
  </si>
  <si>
    <t>94886</t>
  </si>
  <si>
    <t>94887</t>
  </si>
  <si>
    <t>94888</t>
  </si>
  <si>
    <t>95001</t>
  </si>
  <si>
    <t>95015</t>
  </si>
  <si>
    <t>95025</t>
  </si>
  <si>
    <t>95200</t>
  </si>
  <si>
    <t>97001</t>
  </si>
  <si>
    <t>97161</t>
  </si>
  <si>
    <t>97511</t>
  </si>
  <si>
    <t>97666</t>
  </si>
  <si>
    <t>97777</t>
  </si>
  <si>
    <t>97889</t>
  </si>
  <si>
    <t>99001</t>
  </si>
  <si>
    <t>99524</t>
  </si>
  <si>
    <t>99624</t>
  </si>
  <si>
    <t>99773</t>
  </si>
  <si>
    <t>consecutivo</t>
  </si>
  <si>
    <t>P09</t>
  </si>
  <si>
    <t>s13</t>
  </si>
  <si>
    <t>codservicio</t>
  </si>
  <si>
    <t>transaccion</t>
  </si>
  <si>
    <t>usuarios</t>
  </si>
  <si>
    <t>consultas</t>
  </si>
  <si>
    <t>urgencias</t>
  </si>
  <si>
    <t>procedimientos</t>
  </si>
  <si>
    <t>hospitalizacion</t>
  </si>
  <si>
    <t>recienNacidos</t>
  </si>
  <si>
    <t>medicamentos</t>
  </si>
  <si>
    <t>otrosServicios</t>
  </si>
  <si>
    <t>a01</t>
  </si>
  <si>
    <t>a02</t>
  </si>
  <si>
    <t>a03</t>
  </si>
  <si>
    <t>a04</t>
  </si>
  <si>
    <t>a05</t>
  </si>
  <si>
    <t>n u</t>
  </si>
  <si>
    <t>consecutivoUsuario</t>
  </si>
  <si>
    <t>num_DocumentoIdObligado</t>
  </si>
  <si>
    <t>Hojas_Rips</t>
  </si>
  <si>
    <t>Transaccion_tipoNota</t>
  </si>
  <si>
    <t>Usuario_tipoDocumentoIdentificacion</t>
  </si>
  <si>
    <t>Usuario_tipoUsuario</t>
  </si>
  <si>
    <t>Usuario_codSexo</t>
  </si>
  <si>
    <t>Usuario_codPaisResidencia</t>
  </si>
  <si>
    <t>Usuario_codMunicipioResidencia</t>
  </si>
  <si>
    <t>Usuario_codZonaTerritorialResidencia</t>
  </si>
  <si>
    <t>Usuario_incapacidad</t>
  </si>
  <si>
    <t>Usuario_codPaisOrigen</t>
  </si>
  <si>
    <t>Consulta_modalidadGrupoServicioTecSal</t>
  </si>
  <si>
    <t>10</t>
  </si>
  <si>
    <t>11</t>
  </si>
  <si>
    <t>132</t>
  </si>
  <si>
    <t>438</t>
  </si>
  <si>
    <t>108</t>
  </si>
  <si>
    <t>076</t>
  </si>
  <si>
    <t>096</t>
  </si>
  <si>
    <t>116</t>
  </si>
  <si>
    <t>158</t>
  </si>
  <si>
    <t>162</t>
  </si>
  <si>
    <t>184</t>
  </si>
  <si>
    <t>188</t>
  </si>
  <si>
    <t>191</t>
  </si>
  <si>
    <t>196</t>
  </si>
  <si>
    <t>203</t>
  </si>
  <si>
    <t>204</t>
  </si>
  <si>
    <t>208</t>
  </si>
  <si>
    <t>212</t>
  </si>
  <si>
    <t>214</t>
  </si>
  <si>
    <t>218</t>
  </si>
  <si>
    <t>222</t>
  </si>
  <si>
    <t>226</t>
  </si>
  <si>
    <t>231</t>
  </si>
  <si>
    <t>232</t>
  </si>
  <si>
    <t>233</t>
  </si>
  <si>
    <t>234</t>
  </si>
  <si>
    <t>238</t>
  </si>
  <si>
    <t>239</t>
  </si>
  <si>
    <t>242</t>
  </si>
  <si>
    <t>260</t>
  </si>
  <si>
    <t>262</t>
  </si>
  <si>
    <t>268</t>
  </si>
  <si>
    <t>270</t>
  </si>
  <si>
    <t>275</t>
  </si>
  <si>
    <t>276</t>
  </si>
  <si>
    <t>308</t>
  </si>
  <si>
    <t>324</t>
  </si>
  <si>
    <t>328</t>
  </si>
  <si>
    <t>332</t>
  </si>
  <si>
    <t>334</t>
  </si>
  <si>
    <t>336</t>
  </si>
  <si>
    <t>340</t>
  </si>
  <si>
    <t>348</t>
  </si>
  <si>
    <t>356</t>
  </si>
  <si>
    <t>368</t>
  </si>
  <si>
    <t>372</t>
  </si>
  <si>
    <t>417</t>
  </si>
  <si>
    <t>430</t>
  </si>
  <si>
    <t>F</t>
  </si>
  <si>
    <t>RS</t>
  </si>
  <si>
    <t>Consulta_grupoServicios</t>
  </si>
  <si>
    <t>Consulta_codServicio</t>
  </si>
  <si>
    <t>Consulta_FinalidadTecnologiaSalud</t>
  </si>
  <si>
    <t>Consulta_tipoDocumentoIdentificacion</t>
  </si>
  <si>
    <t>Consulta_conceptoRecaudo</t>
  </si>
  <si>
    <t>Procedimientos_viaIngresoServicioSalud</t>
  </si>
  <si>
    <t>Procedimientos_modalidadGrupoServicioTecSal</t>
  </si>
  <si>
    <t>Procedimientos_grupoServicios</t>
  </si>
  <si>
    <t>Procedimientos_codservicio</t>
  </si>
  <si>
    <t>Procedimientos_finalidadTecnologiaSalud</t>
  </si>
  <si>
    <t>Procedimientos_tipoDocumentoIdentificacion</t>
  </si>
  <si>
    <t>Procedimientos_conceptoRecaudo</t>
  </si>
  <si>
    <t>Urgencias_causaMotivoAtencion</t>
  </si>
  <si>
    <t>Urgencias_condicionDestinoUsuarioEgreso</t>
  </si>
  <si>
    <t>Hospitalizacion_viaIngresoServicioSalud</t>
  </si>
  <si>
    <t>Hospitalizacion_causaMotivoAtencion</t>
  </si>
  <si>
    <t>Hospitalizacion_condicionDestinoUsuarioEgreso</t>
  </si>
  <si>
    <t>Medicamentos_tipoMedicamento</t>
  </si>
  <si>
    <t>Medicamentos_unidadMedida</t>
  </si>
  <si>
    <t>Medicamentos_formaFarmaceutica</t>
  </si>
  <si>
    <t>Medicamentos_unidadMinDispensa</t>
  </si>
  <si>
    <t>Medicamentos_tipoDocumentoIdentificacion</t>
  </si>
  <si>
    <t>Medicamentos_conceptoRecaudo</t>
  </si>
  <si>
    <t>Hoja</t>
  </si>
  <si>
    <t>Col_Nombre</t>
  </si>
  <si>
    <t>C</t>
  </si>
  <si>
    <t>G</t>
  </si>
  <si>
    <t>J</t>
  </si>
  <si>
    <t>K</t>
  </si>
  <si>
    <t>L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</si>
  <si>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</si>
  <si>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</si>
  <si>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</si>
  <si>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</si>
  <si>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</si>
  <si>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</si>
  <si>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</si>
  <si>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</si>
  <si>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</si>
  <si>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</si>
  <si>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</si>
  <si>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</si>
  <si>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hojaorden</t>
  </si>
  <si>
    <t>Consulta_causaMotivoAtencion</t>
  </si>
  <si>
    <t>Consulta_tipoDiagnosticoPrincipal</t>
  </si>
  <si>
    <t>Recien_Nacidos_tipoDocumentoIdentificacion</t>
  </si>
  <si>
    <t>Recien_Nacidos_condicionDestinoUsuarioEgreso</t>
  </si>
  <si>
    <t>Otros_Servicios_tipoOS</t>
  </si>
  <si>
    <t>Otros_Servicios_conceptoRecaudo</t>
  </si>
  <si>
    <t>Recien_Nacidos_codSexoBiologico</t>
  </si>
  <si>
    <t>Otros_Servicios_tipoDocumentoIdentificacion</t>
  </si>
  <si>
    <t>Recien_Nacidos</t>
  </si>
  <si>
    <t>Otros_Servicios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</si>
  <si>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</si>
  <si>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</si>
  <si>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</si>
  <si>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</si>
  <si>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</si>
  <si>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</si>
  <si>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</si>
  <si>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</si>
  <si>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</si>
  <si>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</si>
  <si>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</si>
  <si>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</si>
  <si>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</si>
  <si>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</si>
  <si>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</si>
  <si>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</si>
  <si>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</si>
  <si>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</si>
  <si>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</si>
  <si>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AT</t>
  </si>
  <si>
    <t>AU</t>
  </si>
  <si>
    <t>registroSIRAS</t>
  </si>
  <si>
    <t>codDiagnosticoPrincipalCIE11</t>
  </si>
  <si>
    <t>nomCodDiagnosticoPrincipalCIE11</t>
  </si>
  <si>
    <t>codDiagnosticoRelacionado1CIE11</t>
  </si>
  <si>
    <t>nomCodDiagnosticoRelacionado1CIE11</t>
  </si>
  <si>
    <t>codDiagnosticoRelacionado2CIE11</t>
  </si>
  <si>
    <t>nomCodDiagnosticoRelacionado2CIE11</t>
  </si>
  <si>
    <t>codDiagnosticoRelacionado3CIE11</t>
  </si>
  <si>
    <t>nomCodDiagnosticoRelacionado3CIE11</t>
  </si>
  <si>
    <t>codigoVIDA</t>
  </si>
  <si>
    <t>codDiagnosticoPrincipalECIE11</t>
  </si>
  <si>
    <t>nomCodDiagnosticoPrincipalECIE11</t>
  </si>
  <si>
    <t>codDiagnosticoRelacionadoE1CIE11</t>
  </si>
  <si>
    <t>nomCodDiagnosticoRelacionadoE1CIE11</t>
  </si>
  <si>
    <t>codDiagnosticoRelacionadoE2CIE11</t>
  </si>
  <si>
    <t>nomCodDiagnosticoRelacionadoE2CIE11</t>
  </si>
  <si>
    <t>codDiagnosticoRelacionadoE3CIE11</t>
  </si>
  <si>
    <t>nomCodDiagnosticoRelacionadoE3CIE11</t>
  </si>
  <si>
    <t>codDiagnosticoCausaMuerteCIE11</t>
  </si>
  <si>
    <t>nomCodDiagnosticoCausaMuerteCIE11</t>
  </si>
  <si>
    <t>codDiagnosticoRelacionadoCIE11</t>
  </si>
  <si>
    <t>nomCodDiagnosticoRelacionadoCIE11</t>
  </si>
  <si>
    <t>codComplicacionCIE11</t>
  </si>
  <si>
    <t>vrDispensacion</t>
  </si>
  <si>
    <t>T01</t>
  </si>
  <si>
    <t>U04</t>
  </si>
  <si>
    <t>U02</t>
  </si>
  <si>
    <t>T02</t>
  </si>
  <si>
    <t>T04</t>
  </si>
  <si>
    <t>U10</t>
  </si>
  <si>
    <t>C01</t>
  </si>
  <si>
    <t>P13</t>
  </si>
  <si>
    <t>C02</t>
  </si>
  <si>
    <t>C03</t>
  </si>
  <si>
    <t>C04</t>
  </si>
  <si>
    <t>C10</t>
  </si>
  <si>
    <t>C11</t>
  </si>
  <si>
    <t>C12</t>
  </si>
  <si>
    <t>C13</t>
  </si>
  <si>
    <t>C16</t>
  </si>
  <si>
    <t>C17</t>
  </si>
  <si>
    <t>C19</t>
  </si>
  <si>
    <t>C20</t>
  </si>
  <si>
    <t>C21</t>
  </si>
  <si>
    <t>U12</t>
  </si>
  <si>
    <t>P01</t>
  </si>
  <si>
    <t>P02</t>
  </si>
  <si>
    <t>S02</t>
  </si>
  <si>
    <t>P04</t>
  </si>
  <si>
    <t>P05</t>
  </si>
  <si>
    <t>P03</t>
  </si>
  <si>
    <t>P12</t>
  </si>
  <si>
    <t>P14</t>
  </si>
  <si>
    <t>P15</t>
  </si>
  <si>
    <t>P16</t>
  </si>
  <si>
    <t>P18</t>
  </si>
  <si>
    <t>P19</t>
  </si>
  <si>
    <t>P20</t>
  </si>
  <si>
    <t>H01</t>
  </si>
  <si>
    <t>H03</t>
  </si>
  <si>
    <t>H04</t>
  </si>
  <si>
    <t>H06</t>
  </si>
  <si>
    <t>H07</t>
  </si>
  <si>
    <t>H08</t>
  </si>
  <si>
    <t>H09</t>
  </si>
  <si>
    <t>H10</t>
  </si>
  <si>
    <t>H11</t>
  </si>
  <si>
    <t>H13</t>
  </si>
  <si>
    <t>H14</t>
  </si>
  <si>
    <t>H15</t>
  </si>
  <si>
    <t>N01</t>
  </si>
  <si>
    <t>N03</t>
  </si>
  <si>
    <t>N04</t>
  </si>
  <si>
    <t>N05</t>
  </si>
  <si>
    <t>N06</t>
  </si>
  <si>
    <t>N08</t>
  </si>
  <si>
    <t>N09</t>
  </si>
  <si>
    <t>N11</t>
  </si>
  <si>
    <t>N12</t>
  </si>
  <si>
    <t>N13</t>
  </si>
  <si>
    <t>M01</t>
  </si>
  <si>
    <t>M03</t>
  </si>
  <si>
    <t>M04</t>
  </si>
  <si>
    <t>M05</t>
  </si>
  <si>
    <t>M06</t>
  </si>
  <si>
    <t>M08</t>
  </si>
  <si>
    <t>M09</t>
  </si>
  <si>
    <t>M10</t>
  </si>
  <si>
    <t>M14</t>
  </si>
  <si>
    <t>M15</t>
  </si>
  <si>
    <t>M17</t>
  </si>
  <si>
    <t>M18</t>
  </si>
  <si>
    <t>M19</t>
  </si>
  <si>
    <t>M21</t>
  </si>
  <si>
    <t>M22</t>
  </si>
  <si>
    <t>M23</t>
  </si>
  <si>
    <t>S01</t>
  </si>
  <si>
    <t>S03</t>
  </si>
  <si>
    <t>S04</t>
  </si>
  <si>
    <t>S06</t>
  </si>
  <si>
    <t>S07</t>
  </si>
  <si>
    <t>S08</t>
  </si>
  <si>
    <t>S10</t>
  </si>
  <si>
    <t>S11</t>
  </si>
  <si>
    <t>S12</t>
  </si>
  <si>
    <t>S13</t>
  </si>
  <si>
    <t>S14</t>
  </si>
  <si>
    <t>S15</t>
  </si>
  <si>
    <t>S16</t>
  </si>
  <si>
    <t>NI</t>
  </si>
  <si>
    <t>27493</t>
  </si>
  <si>
    <t>49</t>
  </si>
  <si>
    <t>H26</t>
  </si>
  <si>
    <t>nomCodComplicacionCIE11</t>
  </si>
  <si>
    <t>tabla</t>
  </si>
  <si>
    <t>tipo</t>
  </si>
  <si>
    <t>tamaño</t>
  </si>
  <si>
    <t>4-12</t>
  </si>
  <si>
    <t>DIAN</t>
  </si>
  <si>
    <t>0, 2</t>
  </si>
  <si>
    <t>0-20</t>
  </si>
  <si>
    <t>4-20</t>
  </si>
  <si>
    <t>2</t>
  </si>
  <si>
    <t>1</t>
  </si>
  <si>
    <t>3</t>
  </si>
  <si>
    <t>0-5</t>
  </si>
  <si>
    <t>0, 1-60</t>
  </si>
  <si>
    <t>1-7</t>
  </si>
  <si>
    <t>0-30</t>
  </si>
  <si>
    <t>6</t>
  </si>
  <si>
    <t>3, 4</t>
  </si>
  <si>
    <t>4</t>
  </si>
  <si>
    <t>C23</t>
  </si>
  <si>
    <t>0, 4-256</t>
  </si>
  <si>
    <t>C24</t>
  </si>
  <si>
    <t>0, 4-1000</t>
  </si>
  <si>
    <t>0, 4</t>
  </si>
  <si>
    <t>C25</t>
  </si>
  <si>
    <t>C26</t>
  </si>
  <si>
    <t>0, 1-1000</t>
  </si>
  <si>
    <t>C27</t>
  </si>
  <si>
    <t>0, 1-256</t>
  </si>
  <si>
    <t>C28</t>
  </si>
  <si>
    <t>C29</t>
  </si>
  <si>
    <t>C30</t>
  </si>
  <si>
    <t>1-15</t>
  </si>
  <si>
    <t>1-10</t>
  </si>
  <si>
    <t>C22</t>
  </si>
  <si>
    <t>T05</t>
  </si>
  <si>
    <t>R01</t>
  </si>
  <si>
    <t>R02</t>
  </si>
  <si>
    <t>R04</t>
  </si>
  <si>
    <t>R13</t>
  </si>
  <si>
    <t>R14</t>
  </si>
  <si>
    <t>R05</t>
  </si>
  <si>
    <t>R15</t>
  </si>
  <si>
    <t>R16</t>
  </si>
  <si>
    <t>R06</t>
  </si>
  <si>
    <t>R17</t>
  </si>
  <si>
    <t>R18</t>
  </si>
  <si>
    <t>R07</t>
  </si>
  <si>
    <t>R19</t>
  </si>
  <si>
    <t>R20</t>
  </si>
  <si>
    <t>R08</t>
  </si>
  <si>
    <t>R21</t>
  </si>
  <si>
    <t>R22</t>
  </si>
  <si>
    <t>R10</t>
  </si>
  <si>
    <t>R23</t>
  </si>
  <si>
    <t>R24</t>
  </si>
  <si>
    <t>R11</t>
  </si>
  <si>
    <t>R12</t>
  </si>
  <si>
    <t>0, 19-25</t>
  </si>
  <si>
    <t>P21</t>
  </si>
  <si>
    <t>P22</t>
  </si>
  <si>
    <t>P23</t>
  </si>
  <si>
    <t>P24</t>
  </si>
  <si>
    <t>P25</t>
  </si>
  <si>
    <t>P26</t>
  </si>
  <si>
    <t>P27</t>
  </si>
  <si>
    <t>T06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</si>
  <si>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</si>
  <si>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</si>
  <si>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</si>
  <si>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</si>
  <si>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</si>
  <si>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</si>
  <si>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</si>
  <si>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</si>
  <si>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</si>
  <si>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</si>
  <si>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H27</t>
  </si>
  <si>
    <t>H28</t>
  </si>
  <si>
    <t>H29</t>
  </si>
  <si>
    <t>H30</t>
  </si>
  <si>
    <t>T07</t>
  </si>
  <si>
    <t>3,4</t>
  </si>
  <si>
    <t>4-25</t>
  </si>
  <si>
    <t>N14</t>
  </si>
  <si>
    <t>N15</t>
  </si>
  <si>
    <t>0, 4-25</t>
  </si>
  <si>
    <t>N16</t>
  </si>
  <si>
    <t>N17</t>
  </si>
  <si>
    <t>N18</t>
  </si>
  <si>
    <t>T08</t>
  </si>
  <si>
    <t>0, 12</t>
  </si>
  <si>
    <t>M24</t>
  </si>
  <si>
    <t>M25</t>
  </si>
  <si>
    <t>M26</t>
  </si>
  <si>
    <t>M27</t>
  </si>
  <si>
    <t>0-24 (10,14)</t>
  </si>
  <si>
    <t>0-4</t>
  </si>
  <si>
    <t>0, 6, 8</t>
  </si>
  <si>
    <t>1-3</t>
  </si>
  <si>
    <t>0, 4-20</t>
  </si>
  <si>
    <t>M28</t>
  </si>
  <si>
    <t>0-15</t>
  </si>
  <si>
    <t>M29</t>
  </si>
  <si>
    <t>T09</t>
  </si>
  <si>
    <t>1-20</t>
  </si>
  <si>
    <t>0, 1-200</t>
  </si>
  <si>
    <t>5</t>
  </si>
  <si>
    <t>S18</t>
  </si>
  <si>
    <t>S17</t>
  </si>
  <si>
    <t>Col_Num</t>
  </si>
  <si>
    <t>Col_Letra</t>
  </si>
  <si>
    <t>Fila</t>
  </si>
  <si>
    <t>Validacion_Mensaje_Celda</t>
  </si>
  <si>
    <t>Validacion_Formula_Celda</t>
  </si>
  <si>
    <t>A</t>
  </si>
  <si>
    <t xml:space="preserve">Tipo de dato ( C ) Caracter  
Largo De 4 Hasta 12 Caracteres Numericos
No se Admite 
--- Inicie con   0 (Cero)
--- Espacios </t>
  </si>
  <si>
    <t xml:space="preserve"> =Y(LARGO(A2)&gt;=4;LARGO(A2)&lt;=12;IZQUIERDA(A2)&lt;&gt;"0";ESERROR(HALLAR(" ";A2;1)))</t>
  </si>
  <si>
    <t>B</t>
  </si>
  <si>
    <t xml:space="preserve">Tipo de dato ( C ) Caracter  
Verificar Disposcion DIAN para prestadores de Salud
No se Admite  
 --- Inicie con 0 (cero)  
 --- Espacios 
 --- Null  </t>
  </si>
  <si>
    <t xml:space="preserve"> =Y(LARGO(B2)&gt;=1;LARGO(B2)&lt;=64;ESERROR(HALLAR(" ";B2;1));IZQUIERDA(B2;1)&lt;&gt;"0";MAYUSC(B2)&lt;&gt;"NULL")</t>
  </si>
  <si>
    <t>Tipo de dato ( C ) Caracter 
Seleccióne valor de la Lista Desplegable</t>
  </si>
  <si>
    <t xml:space="preserve"> =_01T03_Transaccion_tipoNota</t>
  </si>
  <si>
    <t>D</t>
  </si>
  <si>
    <t>Tipo de dato ( C ) Caracter  
Largo De 1 Hasta 20 Caracteres
No se Admite 
--- Inicie con   0 (Cero) 
--- Null</t>
  </si>
  <si>
    <t xml:space="preserve"> =Y(D2&lt;&gt;"null";O(Y(LARGO(D2)&gt;=0;LARGO(D2)&lt;=20;IZQUIERDA(D2)&lt;&gt;"0";ESERROR(HALLAR(" ";D2;1)))))</t>
  </si>
  <si>
    <t xml:space="preserve"> =_02U01_Usuario_tipoDocumentoIdentificacion</t>
  </si>
  <si>
    <t>Tipo de dato ( C ) Caracter  
Largo De 4 Hasta 20 Caracteres
No se Admite 
--- Inicie con   0 (Cero) 
--- Espacios</t>
  </si>
  <si>
    <t xml:space="preserve"> =Y(B2&lt;&gt;"Null";LARGO(B2)&gt;=4;LARGO(B2)&lt;=20;IZQUIERDA(B2)&lt;&gt;"0";ESERROR(HALLAR(" ";B2;1)))</t>
  </si>
  <si>
    <t xml:space="preserve"> =_02U03_Usuario_tipoUsuario</t>
  </si>
  <si>
    <t>E</t>
  </si>
  <si>
    <t>Tipo de dato ( C ) Caracter  
Largo Fijo de 10 Caracteres
No se admite  
--- Fecha superior a la actual
--- Formato Fecha diferente a 
     aaaa-mm-dd</t>
  </si>
  <si>
    <t xml:space="preserve"> =Y(LARGO(E2)=10;VALOR(E2)&lt;=AHORA())</t>
  </si>
  <si>
    <t xml:space="preserve"> =_02U05_Usuario_codSexo</t>
  </si>
  <si>
    <t xml:space="preserve"> =_02U06_Usuario_codPaisResidencia</t>
  </si>
  <si>
    <t xml:space="preserve"> =_02U07_Usuario_codMunicipioResidencia</t>
  </si>
  <si>
    <t xml:space="preserve"> =_02U08_Usuario_codZonaTerritorialResidencia</t>
  </si>
  <si>
    <t xml:space="preserve"> =_02U09_Usuario_incapacidad</t>
  </si>
  <si>
    <t xml:space="preserve">Tipo de dato ( C ) Caracter 
Seleccióne valor de la Lista Desplegable
</t>
  </si>
  <si>
    <t xml:space="preserve">Tipo de dato ( C ) Caracter  
Al digitar dato tener en cuenta 
Largo : de 1 hasta 60 
No se Admite  
 --- Inicie con 0 (cero)  
 --- Espacios 
 --- Null </t>
  </si>
  <si>
    <t xml:space="preserve"> =Y(LARGO(L2)&gt;=1;LARGO(L2)&lt;=60;IZQUIERDA(L2;1)&lt;&gt;"0";MAYUSC(L2)&lt;&gt;"NULL")</t>
  </si>
  <si>
    <t>Tipo de dato ( N ) Numerico 
Largo De  1 Hasta 7 Caracteres Numericos</t>
  </si>
  <si>
    <t xml:space="preserve"> =Y(REDONDEAR(VALOR(M2);0)&gt;=0;LARGO(M2)&gt;=1;LARGO(M2)&lt;=7)</t>
  </si>
  <si>
    <t>Seleccióne valor de la Lista Desplegable</t>
  </si>
  <si>
    <t xml:space="preserve"> =_02U_Doc_Ident</t>
  </si>
  <si>
    <t>Tipo de dato ( C ) Caracter  
Largo De 12 Caracteres
No se Admite 
--- Espacios</t>
  </si>
  <si>
    <t xml:space="preserve"> =Y(VALOR(C2)*1&gt;=1;LARGO(C2)=12;ESERROR(HALLAR(" ";C2;1)))</t>
  </si>
  <si>
    <t>Tipo de dato ( C ) Caracter  
Largo Fijo de 16 Caracteres
No se admite  
--- Fecha superior a la actual
--- Formato Fecha diferente a 
     aaaa-mm-dd hh:mm</t>
  </si>
  <si>
    <t xml:space="preserve"> =Y(LARGO(D2)=16;D2*1&lt;=AHORA();VALOR(EXTRAE(D2;12;2))&lt;24;VALOR(EXTRAE(D2;15;2))&lt;60)</t>
  </si>
  <si>
    <t>Tipo de dato ( C ) Caracter  
Largo De 1 Hasta 30 Caracteres
No se Admite 
--- Inicie con   0 (Cero) 
--- Null</t>
  </si>
  <si>
    <t xml:space="preserve"> =Y(E2&lt;&gt;"null";O(Y(LARGO(E2)&gt;=0;LARGO(E2)&lt;=30;IZQUIERDA(E2)&lt;&gt;"0";ESERROR(HALLAR(" ";E2;1)))))</t>
  </si>
  <si>
    <t>Tipo de dato ( C ) Caracter  
Largo Fijo de 6 Caracteres 
Ingrese Codigo CUPS Valido
No se Admite 
--- Inicie con   0 (Cero) 
--- Espacios</t>
  </si>
  <si>
    <t xml:space="preserve"> =Y(LARGO(F2)=6;IZQUIERDA(F2)&lt;&gt;"0";ESERROR(HALLAR(" ";F2;1)))</t>
  </si>
  <si>
    <t xml:space="preserve"> =_03C05_Consulta_modalidadGrupoServicioTecSal</t>
  </si>
  <si>
    <t xml:space="preserve"> =_03C06_Consulta_grupoServicios</t>
  </si>
  <si>
    <t>Tipo de dato ( N ) Numerico 
Seleccióne valor de la Lista Desplegable</t>
  </si>
  <si>
    <t xml:space="preserve"> =_03C07_Consulta_codServicio</t>
  </si>
  <si>
    <t xml:space="preserve"> =_03C08_Consulta_FinalidadTecnologiaSalud</t>
  </si>
  <si>
    <t xml:space="preserve"> =_03C09_Consulta_causaMotivoAtencion</t>
  </si>
  <si>
    <t xml:space="preserve">Tipo de dato ( C ) Caracter  
Al digitar dato tener en cuenta 
Largo : 4 Caracteres 
No se Admite  
 --- Inicie con 0 (cero)  
 --- Espacios 
 --- Null  </t>
  </si>
  <si>
    <t xml:space="preserve"> =Y(LARGO(L2)=4;ESERROR(HALLAR(" ";L2;1));IZQUIERDA(L2;1)&lt;&gt;"0";MAYUSC(L2)&lt;&gt;"NULL")</t>
  </si>
  <si>
    <t xml:space="preserve">Tipo de dato ( C ) Caracter  
Al digitar dato tener en cuenta 
Largo : de  4 hasta 256 
No se Admite  
 --- Inicie con 0 (cero)  
 --- Espacios 
 --- Null </t>
  </si>
  <si>
    <t xml:space="preserve"> =Y(LARGO(M2)&gt;= 4;LARGO(M2)&lt;=256;ESERROR(HALLAR(" ";M2;1));IZQUIERDA(M2;1)&lt;&gt;"0";MAYUSC(M2)&lt;&gt;"NULL")</t>
  </si>
  <si>
    <t xml:space="preserve">Tipo de dato ( C ) Caracter  
Al digitar dato tener en cuenta 
Largo : de  4 hasta 1000 
No se Admite  
 --- Inicie con 0 (cero)  
 --- Espacios 
 --- Null  </t>
  </si>
  <si>
    <t xml:space="preserve"> =Y(LARGO(N2)&gt;= 4;LARGO(N2)&lt;=1000;IZQUIERDA(N2;1)&lt;&gt;"0";MAYUSC(N2)&lt;&gt;"NULL")</t>
  </si>
  <si>
    <t xml:space="preserve"> =Y(LARGO(O2)=4;ESERROR(HALLAR(" ";O2;1));IZQUIERDA(O2;1)&lt;&gt;"0";MAYUSC(O2)&lt;&gt;"NULL")</t>
  </si>
  <si>
    <t>Tipo de dato ( C ) Caracter  
Largo De 4 Hasta 25 Caracteres
Ingrese Codigo CIE10 Valido
No se Admite 
--- Inicie con   0 (Cero) 
--- Null</t>
  </si>
  <si>
    <t xml:space="preserve"> =Y(P2&lt;&gt;"null";O(Y(LARGO(P2)&gt;=4;LARGO(P2)&lt;=256;IZQUIERDA(P2)&lt;&gt;"0";ESERROR(HALLAR(" ";P2;1)))))</t>
  </si>
  <si>
    <t xml:space="preserve">Tipo de dato ( C ) Caracter  
Al digitar dato tener en cuenta 
Largo : de  1 hasta 1000 
No se Admite  
 --- Inicie con 0 (cero)  
 --- Espacios 
 --- Null  </t>
  </si>
  <si>
    <t xml:space="preserve"> =Y(LARGO(Q2)&gt;= 1;LARGO(Q2)&lt;=1000;IZQUIERDA(Q2;1)&lt;&gt;"0";MAYUSC(Q2)&lt;&gt;"NULL")</t>
  </si>
  <si>
    <t xml:space="preserve"> =Y(LARGO(R2)=4;ESERROR(HALLAR(" ";R2;1));IZQUIERDA(R2;1)&lt;&gt;"0";MAYUSC(R2)&lt;&gt;"NULL")</t>
  </si>
  <si>
    <t xml:space="preserve"> =Y(S2&lt;&gt;"null";O(Y(LARGO(S2)&gt;=1;LARGO(S2)&lt;=256;IZQUIERDA(S2)&lt;&gt;"0";ESERROR(HALLAR(" ";S2;1)))))</t>
  </si>
  <si>
    <t xml:space="preserve"> =Y(LARGO(T2)&gt;= 1;LARGO(T2)&lt;=1000;IZQUIERDA(T2;1)&lt;&gt;"0";MAYUSC(T2)&lt;&gt;"NULL")</t>
  </si>
  <si>
    <t xml:space="preserve"> =Y(LARGO(U2)=4;ESERROR(HALLAR(" ";U2;1));IZQUIERDA(U2;1)&lt;&gt;"0";MAYUSC(U2)&lt;&gt;"NULL")</t>
  </si>
  <si>
    <t xml:space="preserve">Tipo de dato ( C ) Caracter  
Al digitar dato tener en cuenta 
Largo : de 1 hasta 256 
No se Admite  
 --- Inicie con 0 (cero)  
 --- Espacios 
 --- Null </t>
  </si>
  <si>
    <t xml:space="preserve"> =Y(LARGO(V2)&gt;= 1;LARGO(V2)&lt;=256;ESERROR(HALLAR(" ";V2;1));IZQUIERDA(V2;1)&lt;&gt;"0";MAYUSC(V2)&lt;&gt;"NULL")</t>
  </si>
  <si>
    <t xml:space="preserve"> =Y(LARGO(W2)&gt;= 1;LARGO(W2)&lt;=1000;IZQUIERDA(W2;1)&lt;&gt;"0";MAYUSC(W2)&lt;&gt;"NULL")</t>
  </si>
  <si>
    <t xml:space="preserve"> =_03C14_Consulta_tipoDiagnosticoPrincipal</t>
  </si>
  <si>
    <t xml:space="preserve"> =_03C15_Consulta_tipoDocumentoIdentificacion</t>
  </si>
  <si>
    <t xml:space="preserve"> =Y(Z2&lt;&gt;"Null";LARGO(Z2)&gt;=4;LARGO(Z2)&lt;=20;IZQUIERDA(Z2)&lt;&gt;"0";ESERROR(HALLAR(" ";Z2;1)))</t>
  </si>
  <si>
    <t xml:space="preserve">Tipo de dato ( N ) Numero  
Al digitar dato tener en cuenta  
Largo : de 1 hasta 15 digitos numericos  
No se Admite  
 --- Espacios 
 --- Null  </t>
  </si>
  <si>
    <t xml:space="preserve"> =Y(LARGO(AA2)&gt;=1;LARGO(AA2)&lt;=15;VALOR(AA2)&gt;=0)</t>
  </si>
  <si>
    <t xml:space="preserve"> =_03C18_Consulta_conceptoRecaudo</t>
  </si>
  <si>
    <t>Tipo de dato ( N ) Numerico 
Largo De  1 Hasta 10 Caracteres Numericos</t>
  </si>
  <si>
    <t xml:space="preserve"> =Y(VALOR(AC2)&gt;=0;LARGO(AC2)&gt;=1;LARGO(AC2)&lt;=10)</t>
  </si>
  <si>
    <t xml:space="preserve">Tipo de dato ( C ) Caracter  
Verificar Disposicion DIAN para prestadores de Salud
No se Admite  
 --- Inicie con 0 (cero)  
 --- Espacios 
 --- Null </t>
  </si>
  <si>
    <t xml:space="preserve"> =Y(LARGO(AD2)&gt;=1;LARGO(AD2)&lt;=64;ESERROR(HALLAR(" ";AD2;1));IZQUIERDA(AD2;1)&lt;&gt;"0";MAYUSC(AD2)&lt;&gt;"NULL")</t>
  </si>
  <si>
    <t xml:space="preserve">Tipo de dato ( C ) Caracter  
Al digitar dato tener en cuenta 
Largo : de  1 hasta 256 
No se Admite  
 --- Inicie con 0 (cero)  
 --- Espacios 
 --- Null </t>
  </si>
  <si>
    <t xml:space="preserve"> =Y(LARGO(AE2)&gt;= 1;LARGO(AE2)&lt;=256;ESERROR(HALLAR(" ";AE2;1));IZQUIERDA(AE2;1)&lt;&gt;"0";MAYUSC(AE2)&lt;&gt;"NULL")</t>
  </si>
  <si>
    <t xml:space="preserve"> =Y(VALOR(AF2)&gt;=0;LARGO(AF2)&gt;=1;LARGO(AF2)&lt;=7)</t>
  </si>
  <si>
    <t>Tipo de dato ( C ) Caracter  
Seleccióne valor de la Lista Desplegable</t>
  </si>
  <si>
    <t xml:space="preserve"> =_05R03_Urgencias_causaMotivoAtencion</t>
  </si>
  <si>
    <t xml:space="preserve"> =Y(LARGO(F2)=4;ESERROR(HALLAR(" ";F2;1));IZQUIERDA(F2;1)&lt;&gt;"0";MAYUSC(F2)&lt;&gt;"NULL")</t>
  </si>
  <si>
    <t xml:space="preserve"> =Y(LARGO(G2)&gt;= 4;LARGO(G2)&lt;=256;ESERROR(HALLAR(" ";G2;1));IZQUIERDA(G2;1)&lt;&gt;"0";MAYUSC(G2)&lt;&gt;"NULL")</t>
  </si>
  <si>
    <t xml:space="preserve"> =Y(LARGO(H2)&gt;= 1;LARGO(H2)&lt;=1000;IZQUIERDA(H2;1)&lt;&gt;"0";MAYUSC(H2)&lt;&gt;"NULL")</t>
  </si>
  <si>
    <t xml:space="preserve"> =Y(LARGO(I2)=4;ESERROR(HALLAR(" ";I2;1));IZQUIERDA(I2;1)&lt;&gt;"0";MAYUSC(I2)&lt;&gt;"NULL")</t>
  </si>
  <si>
    <t xml:space="preserve"> =Y(LARGO(J2)&gt;= 4;LARGO(J2)&lt;=256;ESERROR(HALLAR(" ";J2;1));IZQUIERDA(J2;1)&lt;&gt;"0";MAYUSC(J2)&lt;&gt;"NULL")</t>
  </si>
  <si>
    <t xml:space="preserve"> =Y(LARGO(K2)&gt;= 1;LARGO(K2)&lt;=1000;IZQUIERDA(K2;1)&lt;&gt;"0";MAYUSC(K2)&lt;&gt;"NULL")</t>
  </si>
  <si>
    <t xml:space="preserve"> =Y(LARGO(N2)&gt;= 1;LARGO(N2)&lt;=1000;IZQUIERDA(N2;1)&lt;&gt;"0";MAYUSC(N2)&lt;&gt;"NULL")</t>
  </si>
  <si>
    <t xml:space="preserve"> =Y(LARGO(P2)&gt;= 4;LARGO(P2)&lt;=256;ESERROR(HALLAR(" ";P2;1));IZQUIERDA(P2;1)&lt;&gt;"0";MAYUSC(P2)&lt;&gt;"NULL")</t>
  </si>
  <si>
    <t xml:space="preserve"> =Y(LARGO(S2)&gt;= 4;LARGO(S2)&lt;=256;ESERROR(HALLAR(" ";S2;1));IZQUIERDA(S2;1)&lt;&gt;"0";MAYUSC(S2)&lt;&gt;"NULL")</t>
  </si>
  <si>
    <t xml:space="preserve"> =_05R09_Urgencias_condicionDestinoUsuarioEgreso</t>
  </si>
  <si>
    <t xml:space="preserve"> =Y(LARGO(V2)=4;ESERROR(HALLAR(" ";V2;1));IZQUIERDA(V2;1)&lt;&gt;"0";MAYUSC(V2)&lt;&gt;"NULL")</t>
  </si>
  <si>
    <t xml:space="preserve"> =Y(LARGO(W2)&gt;= 4;LARGO(W2)&lt;=256;ESERROR(HALLAR(" ";W2;1));IZQUIERDA(W2;1)&lt;&gt;"0";MAYUSC(W2)&lt;&gt;"NULL")</t>
  </si>
  <si>
    <t xml:space="preserve"> =Y(LARGO(X2)&gt;= 1;LARGO(X2)&lt;=1000;IZQUIERDA(X2;1)&lt;&gt;"0";MAYUSC(X2)&lt;&gt;"NULL")</t>
  </si>
  <si>
    <t>Tipo de dato ( C ) Caracter  
Largo Fijo de 16 Caracteres
No se admite  
--- Fecha superior a la actual
--- Fecha Egreso Inferior a Fecha Inicio
--- Formato Fecha diferente a 
     aaaa-mm-dd hh:mm</t>
  </si>
  <si>
    <t xml:space="preserve"> =Y(LARGO(Y2)=16;D2*1&lt;Y2*1;Y2*1&lt;=AHORA();VALOR(EXTRAE(Y2;12;2))&lt;24;VALOR(EXTRAE(Y2;15;2))&lt;60)</t>
  </si>
  <si>
    <t xml:space="preserve">Tipo de dato ( C ) Caracter  
Al digitar dato tener en cuenta 
Largo : de  1 hasta 256 
No se Admite  
 --- Inicie con 0 (cero)  
 --- Espacios 
 --- Null  </t>
  </si>
  <si>
    <t xml:space="preserve"> =Y(LARGO(Z2)&gt;= 1;LARGO(Z2)&lt;=256;ESERROR(HALLAR(" ";Z2;1));IZQUIERDA(Z2;1)&lt;&gt;"0";MAYUSC(Z2)&lt;&gt;"NULL")</t>
  </si>
  <si>
    <t xml:space="preserve"> =Y(VALOR(AA2)&gt;=0;LARGO(AA2)&gt;=1;LARGO(AA2)&lt;=7)</t>
  </si>
  <si>
    <t xml:space="preserve">Tipo de dato ( C ) Caracter  
Al digitar dato tener en cuenta 
Largo : de  19 hasta 25 
No se Admite  
 --- Inicie con 0 (cero)  
 --- Espacios 
 --- Null  </t>
  </si>
  <si>
    <t xml:space="preserve"> =Y(LARGO(E2)&gt;= 19;LARGO(E2)&lt;=25;ESERROR(HALLAR(" ";E2;1));IZQUIERDA(E2;1)&lt;&gt;"0";MAYUSC(E2)&lt;&gt;"NULL")</t>
  </si>
  <si>
    <t xml:space="preserve"> =Y(F2&lt;&gt;"null";O(Y(LARGO(F2)&gt;=0;LARGO(F2)&lt;=30;IZQUIERDA(F2)&lt;&gt;"0";ESERROR(HALLAR(" ";F2;1)))))</t>
  </si>
  <si>
    <t>Tipo de dato ( C ) Caracter  
Largo Fijo de 6 Caracteres 
No se Admite 
--- Inicie con   0 (Cero) 
--- Espacios</t>
  </si>
  <si>
    <t xml:space="preserve"> =Y(LARGO(G2)=6;ESERROR(HALLAR(" ";G2;1)))</t>
  </si>
  <si>
    <t xml:space="preserve"> =_04P06_Procedimientos_viaIngresoServicioSalud</t>
  </si>
  <si>
    <t xml:space="preserve"> =_04P07_Procedimientos_modalidadGrupoServicioTecSal</t>
  </si>
  <si>
    <t xml:space="preserve"> =_04P08_Procedimientos_grupoServicios</t>
  </si>
  <si>
    <t xml:space="preserve"> =_04P09_Procedimientos_codservicio</t>
  </si>
  <si>
    <t xml:space="preserve"> =_04P10_Procedimientos_finalidadTecnologiaSalud</t>
  </si>
  <si>
    <t xml:space="preserve"> =_04P11_Procedimientos_tipoDocumentoIdentificacion</t>
  </si>
  <si>
    <t xml:space="preserve"> =Y(N2&lt;&gt;"Null";LARGO(N2)&gt;=4;LARGO(N2)&lt;=20;IZQUIERDA(N2)&lt;&gt;"0";ESERROR(HALLAR(" ";N2;1)))</t>
  </si>
  <si>
    <t xml:space="preserve">Tipo de dato ( N ) Numero  
Al digitar dato tener en cuenta 
Largo : de 1 hasta 15 digitos numericos 
No se Admite  
 --- Espacios 
 --- Null  </t>
  </si>
  <si>
    <t xml:space="preserve"> =Y(LARGO(X2)&gt;=1;LARGO(X2)&lt;=15;VALOR(X2)&gt;=0)</t>
  </si>
  <si>
    <t xml:space="preserve"> =_04P17_Procedimientos_conceptoRecaudo</t>
  </si>
  <si>
    <t xml:space="preserve"> =Y(VALOR(Z2)&gt;=0;LARGO(Z2)&gt;=1;LARGO(Z2)&lt;=10)</t>
  </si>
  <si>
    <t xml:space="preserve">Tipo de dato ( C ) Caracter  
Verificar Disposicion DIAN para prestadores de Salud
No se Admite  
 --- Inicie con 0 (cero)  
 --- Espacios 
 --- Null  </t>
  </si>
  <si>
    <t xml:space="preserve"> =Y(LARGO(AA2)&gt;=1;LARGO(AA2)&lt;=64;ESERROR(HALLAR(" ";AA2;1));IZQUIERDA(AA2;1)&lt;&gt;"0";MAYUSC(AA2)&lt;&gt;"NULL")</t>
  </si>
  <si>
    <t xml:space="preserve"> =Y(LARGO(AB2)&gt;= 1;LARGO(AB2)&lt;=256;ESERROR(HALLAR(" ";AB2;1));IZQUIERDA(AB2;1)&lt;&gt;"0";MAYUSC(AB2)&lt;&gt;"NULL")</t>
  </si>
  <si>
    <t xml:space="preserve"> =Y(VALOR(AC2)&gt;=0;LARGO(AC2)&gt;=1;LARGO(AC2)&lt;=7)</t>
  </si>
  <si>
    <t xml:space="preserve"> =_06H02_Hospitalizacion_viaIngresoServicioSalud</t>
  </si>
  <si>
    <t xml:space="preserve"> =Y(LARGO(E2)=16;E2*1&lt;=AHORA();VALOR(EXTRAE(E2;12;2))&lt;24;VALOR(EXTRAE(E2;15;2))&lt;60)</t>
  </si>
  <si>
    <t>Tipo de dato ( C ) Caracter  
Largo De 1 Hasta 30 Caracteres
No se Admite 
--- Inicie con   0 (Cero) 
--- Espacios</t>
  </si>
  <si>
    <t xml:space="preserve"> =_06H05_Hospitalizacion_causaMotivoAtencion</t>
  </si>
  <si>
    <t xml:space="preserve">Tipo de dato ( C ) Caracter  
Al digitar dato tener en cuenta 
Largo : 4 Caracteres 
No se Admite  
 --- Inicie con 0 (cero)  
 --- Espacios 
 --- Null </t>
  </si>
  <si>
    <t xml:space="preserve"> =Y(LARGO(H2)=4;ESERROR(HALLAR(" ";H2;1));IZQUIERDA(H2;1)&lt;&gt;"0";MAYUSC(H2)&lt;&gt;"NULL")</t>
  </si>
  <si>
    <t xml:space="preserve">Tipo de dato ( C ) Caracter  
Al digitar dato tener en cuenta 
Largo : de  4 hasta 256 
No se Admite  
 --- Inicie con 0 (cero)  
 --- Espacios 
 --- Null  </t>
  </si>
  <si>
    <t xml:space="preserve"> =Y(LARGO(I2)&gt;= 4;LARGO(I2)&lt;=256;ESERROR(HALLAR(" ";I2;1));IZQUIERDA(I2;1)&lt;&gt;"0";MAYUSC(I2)&lt;&gt;"NULL")</t>
  </si>
  <si>
    <t xml:space="preserve"> =Y(LARGO(J2)&gt;= 1;LARGO(J2)&lt;=1000;IZQUIERDA(J2;1)&lt;&gt;"0";MAYUSC(J2)&lt;&gt;"NULL")</t>
  </si>
  <si>
    <t xml:space="preserve"> =Y(LARGO(K2)=4;ESERROR(HALLAR(" ";K2;1));IZQUIERDA(K2;1)&lt;&gt;"0";MAYUSC(K2)&lt;&gt;"NULL")</t>
  </si>
  <si>
    <t xml:space="preserve"> =Y(LARGO(L2)&gt;= 4;LARGO(L2)&lt;=256;ESERROR(HALLAR(" ";L2;1));IZQUIERDA(L2;1)&lt;&gt;"0";MAYUSC(L2)&lt;&gt;"NULL")</t>
  </si>
  <si>
    <t xml:space="preserve"> =Y(LARGO(M2)&gt;= 1;LARGO(M2)&lt;=1000;IZQUIERDA(M2;1)&lt;&gt;"0";MAYUSC(M2)&lt;&gt;"NULL")</t>
  </si>
  <si>
    <t xml:space="preserve"> =Y(LARGO(N2)=4;ESERROR(HALLAR(" ";N2;1));IZQUIERDA(N2;1)&lt;&gt;"0";MAYUSC(N2)&lt;&gt;"NULL")</t>
  </si>
  <si>
    <t xml:space="preserve"> =Y(LARGO(O2)&gt;= 4;LARGO(O2)&lt;=256;ESERROR(HALLAR(" ";O2;1));IZQUIERDA(O2;1)&lt;&gt;"0";MAYUSC(O2)&lt;&gt;"NULL")</t>
  </si>
  <si>
    <t xml:space="preserve"> =Y(LARGO(P2)&gt;= 1;LARGO(P2)&lt;=1000;IZQUIERDA(P2;1)&lt;&gt;"0";MAYUSC(P2)&lt;&gt;"NULL")</t>
  </si>
  <si>
    <t xml:space="preserve"> =Y(LARGO(Q2)=4;ESERROR(HALLAR(" ";Q2;1));IZQUIERDA(Q2;1)&lt;&gt;"0";MAYUSC(Q2)&lt;&gt;"NULL")</t>
  </si>
  <si>
    <t xml:space="preserve"> =Y(LARGO(R2)&gt;= 4;LARGO(R2)&lt;=256;ESERROR(HALLAR(" ";R2;1));IZQUIERDA(R2;1)&lt;&gt;"0";MAYUSC(R2)&lt;&gt;"NULL")</t>
  </si>
  <si>
    <t xml:space="preserve"> =Y(LARGO(S2)&gt;= 1;LARGO(S2)&lt;=1000;IZQUIERDA(S2;1)&lt;&gt;"0";MAYUSC(S2)&lt;&gt;"NULL")</t>
  </si>
  <si>
    <t xml:space="preserve"> =Y(LARGO(T2)=4;ESERROR(HALLAR(" ";T2;1));IZQUIERDA(T2;1)&lt;&gt;"0";MAYUSC(T2)&lt;&gt;"NULL")</t>
  </si>
  <si>
    <t xml:space="preserve"> =Y(LARGO(U2)&gt;= 4;LARGO(U2)&lt;=256;ESERROR(HALLAR(" ";U2;1));IZQUIERDA(U2;1)&lt;&gt;"0";MAYUSC(U2)&lt;&gt;"NULL")</t>
  </si>
  <si>
    <t xml:space="preserve"> =Y(LARGO(V2)&gt;= 1;LARGO(V2)&lt;=1000;IZQUIERDA(V2;1)&lt;&gt;"0";MAYUSC(V2)&lt;&gt;"NULL")</t>
  </si>
  <si>
    <t xml:space="preserve"> =Y(LARGO(W2)=4;ESERROR(HALLAR(" ";W2;1));IZQUIERDA(W2;1)&lt;&gt;"0";MAYUSC(W2)&lt;&gt;"NULL")</t>
  </si>
  <si>
    <t xml:space="preserve"> =Y(LARGO(X2)&gt;= 4;LARGO(X2)&lt;=256;ESERROR(HALLAR(" ";X2;1));IZQUIERDA(X2;1)&lt;&gt;"0";MAYUSC(X2)&lt;&gt;"NULL")</t>
  </si>
  <si>
    <t xml:space="preserve"> =Y(LARGO(Y2)&gt;= 1;LARGO(Y2)&lt;=1000;IZQUIERDA(Y2;1)&lt;&gt;"0";MAYUSC(Y2)&lt;&gt;"NULL")</t>
  </si>
  <si>
    <t xml:space="preserve"> =_06H12_Hospitalizacion_condicionDestinoUsuarioEgreso</t>
  </si>
  <si>
    <t xml:space="preserve"> =Y(LARGO(AA2)=4;ESERROR(HALLAR(" ";AA2;1));IZQUIERDA(AA2;1)&lt;&gt;"0";MAYUSC(AA2)&lt;&gt;"NULL")</t>
  </si>
  <si>
    <t xml:space="preserve"> =Y(LARGO(AB2)&gt;= 4;LARGO(AB2)&lt;=256;ESERROR(HALLAR(" ";AB2;1));IZQUIERDA(AB2;1)&lt;&gt;"0";MAYUSC(AB2)&lt;&gt;"NULL")</t>
  </si>
  <si>
    <t xml:space="preserve"> =Y(LARGO(AC2)&gt;= 1;LARGO(AC2)&lt;=1000;IZQUIERDA(AC2;1)&lt;&gt;"0";MAYUSC(AC2)&lt;&gt;"NULL")</t>
  </si>
  <si>
    <t xml:space="preserve"> =Y(LARGO(AD2)=16;E2*1&lt;AD2*1;AD2*1&lt;=AHORA();VALOR(EXTRAE(AD2;12;2))&lt;24;VALOR(EXTRAE(AD2;15;2))&lt;60)</t>
  </si>
  <si>
    <t xml:space="preserve"> =_07N02_Recien_Nacidos_tipoDocumentoIdentificacion</t>
  </si>
  <si>
    <t xml:space="preserve"> =Y(E2&lt;&gt;"Null";LARGO(E2)&gt;=4;LARGO(E2)&lt;=20;IZQUIERDA(E2)&lt;&gt;"0";ESERROR(HALLAR(" ";E2;1)))</t>
  </si>
  <si>
    <t xml:space="preserve"> =Y(LARGO(F2)=16;F2*1&lt;=AHORA();VALOR(EXTRAE(F2;12;2))&lt;24;VALOR(EXTRAE(F2;15;2))&lt;60)</t>
  </si>
  <si>
    <t xml:space="preserve">Tipo de dato ( N ) Numerico 
Largo hasta 2 Caracteres Numericos
</t>
  </si>
  <si>
    <t xml:space="preserve"> =Y(VALOR(G2)&gt;=0;LARGO(G2)&gt;=1;LARGO(G2)&lt;=2)</t>
  </si>
  <si>
    <t>Tipo de dato ( N ) Numerico 
Largo hasta 2 Caracteres Numericos</t>
  </si>
  <si>
    <t xml:space="preserve"> =Y(VALOR(H2)&gt;=0;LARGO(H2)&gt;=1;LARGO(H2)&lt;=2)</t>
  </si>
  <si>
    <t xml:space="preserve"> =_07N07_Recien_Nacidos_codSexoBiologico</t>
  </si>
  <si>
    <t>Tipo de dato ( N ) Numerico 
Largo  3 ó 4 Caracteres Numericos</t>
  </si>
  <si>
    <t xml:space="preserve"> =Y(VALOR(J2)&gt;=0;LARGO(J2)&gt;=3;LARGO(J2)&lt;=4)</t>
  </si>
  <si>
    <t xml:space="preserve">Tipo de dato ( C ) Caracter  
Al digitar dato tener en cuenta 
Largo : de 4 hasta 25 Caracteres 
No se Admite  
 --- Inicie con 0 (cero)  
 --- Espacios 
 --- Null </t>
  </si>
  <si>
    <t xml:space="preserve"> =Y(LARGO(K2)&gt;=4;LARGO(K2)&lt;=25;ESERROR(HALLAR(" ";K2;1));IZQUIERDA(K2;1)&lt;&gt;"0";MAYUSC(K2)&lt;&gt;"NULL")</t>
  </si>
  <si>
    <t xml:space="preserve"> =_07N10_Recien_Nacidos_condicionDestinoUsuarioEgreso</t>
  </si>
  <si>
    <t xml:space="preserve">Tipo de dato ( C ) Caracter  
Al digitar dato tener en cuenta 
Largo : de  4 hasta 25 
No se Admite  
 --- Inicie con 0 (cero)  
 --- Espacios 
 --- Null  </t>
  </si>
  <si>
    <t xml:space="preserve"> =Y(LARGO(O2)&gt;= 4;LARGO(O2)&lt;=25;ESERROR(HALLAR(" ";O2;1));IZQUIERDA(O2;1)&lt;&gt;"0";MAYUSC(O2)&lt;&gt;"NULL")</t>
  </si>
  <si>
    <t xml:space="preserve"> =Y(LARGO(R2)=16;F2*1&lt;R2*1;R2*1&lt;=AHORA();VALOR(EXTRAE(R2;12;2))&lt;24;VALOR(EXTRAE(R2;15;2))&lt;60)</t>
  </si>
  <si>
    <t xml:space="preserve"> =Y(LARGO(S2)&gt;= 1;LARGO(S2)&lt;=256;ESERROR(HALLAR(" ";S2;1));IZQUIERDA(S2;1)&lt;&gt;"0";MAYUSC(S2)&lt;&gt;"NULL")</t>
  </si>
  <si>
    <t xml:space="preserve"> =Y(VALOR(T2)&gt;=0;LARGO(T2)&gt;=1;LARGO(T2)&lt;=7)</t>
  </si>
  <si>
    <t xml:space="preserve"> =Y(LARGO(D2)&gt;= 19;LARGO(D2)&lt;=25;ESERROR(HALLAR(" ";D2;1));IZQUIERDA(D2;1)&lt;&gt;"0";MAYUSC(D2)&lt;&gt;"NULL")</t>
  </si>
  <si>
    <t xml:space="preserve"> =_08M07_Medicamentos_tipoMedicamento</t>
  </si>
  <si>
    <t>Tipo de dato ( C ) Caracter 
Largo De  1 Hasta 20 Caracteres
No se Admite 
--- Inicie con   0 (Cero) 
--- Null</t>
  </si>
  <si>
    <t xml:space="preserve"> =Y(M2&lt;&gt;"null";LARGO(M2)&gt;=0;LARGO(M2)&lt;=20;IZQUIERDA(M2)&lt;&gt;"0")</t>
  </si>
  <si>
    <t xml:space="preserve">Tipo de dato ( C ) Caracter  
Al digitar dato tener en cuenta 
Largo : de 0 hasta 30 
No se Admite  
 --- Inicie con 0 (cero)  
 --- Espacios 
 --- Null  </t>
  </si>
  <si>
    <t xml:space="preserve"> =Y(LARGO(N2)&gt;=0;LARGO(N2)&lt;=30;IZQUIERDA(N2;1)&lt;&gt;"0";MAYUSC(N2)&lt;&gt;"NULL")</t>
  </si>
  <si>
    <t xml:space="preserve">Tipo de dato ( N ) Numero  
Al digitar dato tener en cuenta 
Largo : de 0 hasta 24 digitos numericos 
No se Admite  
 --- Espacios 
 --- Null  </t>
  </si>
  <si>
    <t xml:space="preserve"> =Y(LARGO(O2)&gt;=0;LARGO(O2)&lt;=24;VALOR(O2)&gt;=0;ESERROR(HALLAR(" ";O2;1));MAYUSC(O2)&lt;&gt;"NULL")</t>
  </si>
  <si>
    <t xml:space="preserve"> =_08M11_Medicamentos_unidadMedida</t>
  </si>
  <si>
    <t xml:space="preserve"> =_08M12_Medicamentos_formaFarmaceutica</t>
  </si>
  <si>
    <t xml:space="preserve"> =_08M13_Medicamentos_unidadMinDispensa</t>
  </si>
  <si>
    <t xml:space="preserve"> =Y(VALOR(S2)&gt;=0;Y(LARGO(S2)&gt;=1;LARGO(S2)&lt;=10))</t>
  </si>
  <si>
    <t>Tipo de dato ( N ) Numerico 
Largo De  1 Hasta 3 Caracteres Numericos</t>
  </si>
  <si>
    <t xml:space="preserve"> =Y(VALOR(T2)&gt;=0;Y(LARGO(T2)&gt;=1;LARGO(T2)&lt;=3))</t>
  </si>
  <si>
    <t xml:space="preserve"> =_08M16_Medicamentos_tipoDocumentoIdentificacion</t>
  </si>
  <si>
    <t xml:space="preserve"> =Y(V2&lt;&gt;"Null";LARGO(V2)&gt;=4;LARGO(V2)&lt;=20;IZQUIERDA(V2)&lt;&gt;"0";ESERROR(HALLAR(" ";V2;1)))</t>
  </si>
  <si>
    <t>Tipo de dato ( N ) Numerico 
Largo De  1 Hasta 15 Caracteres Numericos</t>
  </si>
  <si>
    <t xml:space="preserve"> =Y(VALOR(W2)&gt;=0;Y(LARGO(W2)&gt;=1;LARGO(W2)&lt;=15))</t>
  </si>
  <si>
    <t xml:space="preserve">Tipo de dato ( N ) Numero  
Al digitar dato tener en cuenta 
Largo : de 0 hasta 15 digitos numericos  
No se Admite  
 --- Espacios 
 --- Null </t>
  </si>
  <si>
    <t xml:space="preserve"> =Y(LARGO(X2)&gt;=0;LARGO(X2)&lt;=15;VALOR(X2)&gt;=0)</t>
  </si>
  <si>
    <t xml:space="preserve"> =Y(VALOR(Y2)&gt;=0;Y(LARGO(Y2)&gt;=1;LARGO(Y2)&lt;=15))</t>
  </si>
  <si>
    <t xml:space="preserve"> =_08M20_Medicamentos_conceptoRecaudo</t>
  </si>
  <si>
    <t xml:space="preserve"> =Y(VALOR(AA2)&gt;=0;Y(LARGO(AA2)&gt;=1;LARGO(AA2)&lt;=10))</t>
  </si>
  <si>
    <t xml:space="preserve"> =Y(LARGO(AB2)&gt;=1;LARGO(AB2)&lt;=64;ESERROR(HALLAR(" ";AB2;1));IZQUIERDA(AB2;1)&lt;&gt;"0";MAYUSC(AB2)&lt;&gt;"NULL")</t>
  </si>
  <si>
    <t xml:space="preserve"> =Y(LARGO(AC2)&gt;= 1;LARGO(AC2)&lt;=256;ESERROR(HALLAR(" ";AC2;1));IZQUIERDA(AC2;1)&lt;&gt;"0";MAYUSC(AC2)&lt;&gt;"NULL")</t>
  </si>
  <si>
    <t xml:space="preserve"> =Y(VALOR(AD2)&gt;=0;LARGO(AD2)&gt;=1;LARGO(AD2)&lt;=7)</t>
  </si>
  <si>
    <t xml:space="preserve"> =Y(D2&lt;&gt;"null";O(Y(LARGO(D2)&gt;=0;LARGO(D2)&lt;=30;IZQUIERDA(D2)&lt;&gt;"0";ESERROR(HALLAR(" ";D2;1)))))</t>
  </si>
  <si>
    <t xml:space="preserve"> =_09S05_Otros_Servicios_tipoOS</t>
  </si>
  <si>
    <t xml:space="preserve"> =Y(H2&lt;&gt;"null";LARGO(H2)&gt;=1;LARGO(H2)&lt;=20;IZQUIERDA(H2)&lt;&gt;"0")</t>
  </si>
  <si>
    <t xml:space="preserve">Tipo de dato ( C ) Caracter  
Al digitar dato tener en cuenta 
Largo : de  1 hasta 200 
No se Admite  
 --- Inicie con 0 (cero)  
 --- Espacios 
 --- Null </t>
  </si>
  <si>
    <t xml:space="preserve"> =Y(LARGO(I2)&gt;= 1;LARGO(I2)&lt;=200;IZQUIERDA(I2;1)&lt;&gt;"0";MAYUSC(I2)&lt;&gt;"NULL")</t>
  </si>
  <si>
    <t xml:space="preserve">Tipo de dato ( N ) Numero  
Al digitar dato tener en cuenta 
Largo : de 1 a 5 digitos numericos 
No se Admite  
 --- Espacios 
 --- Null </t>
  </si>
  <si>
    <t xml:space="preserve"> =Y(LARGO(J2)&gt;=1;LARGO(J2)&lt;=5;VALOR(J2)&gt;=1)</t>
  </si>
  <si>
    <t xml:space="preserve"> =_09S09_Otros_Servicios_tipoDocumentoIdentificacion</t>
  </si>
  <si>
    <t xml:space="preserve"> =O(L2="null";Y(LARGO(L2)&gt;=4;LARGO(L2)&lt;=20;IZQUIERDA(L2)&lt;&gt;"0";ESERROR(HALLAR(" ";L2;1))))</t>
  </si>
  <si>
    <t xml:space="preserve"> =Y(VALOR(M2)&gt;=0;LARGO(M2)&gt;=1;LARGO(M2)&lt;=15)</t>
  </si>
  <si>
    <t xml:space="preserve">Tipo de dato ( N ) Numero  
Al digitar dato tener en cuenta 
Largo : de 0 hasta 15 digitos numericos 
No se Admite  
 --- Espacios 
 --- Null </t>
  </si>
  <si>
    <t xml:space="preserve"> =Y(LARGO(N2)&gt;=0;LARGO(N2)&lt;=15;VALOR(N2)&gt;=0)</t>
  </si>
  <si>
    <t xml:space="preserve"> =Y(VALOR(O2)&gt;=0;LARGO(O2)&gt;=1;LARGO(O2)&lt;=15)</t>
  </si>
  <si>
    <t xml:space="preserve"> =_09S13_Otros_Servicios_conceptoRecaudo</t>
  </si>
  <si>
    <t xml:space="preserve">Tipo de dato ( N ) Numero  
Al digitar dato tener en cuenta 
Largo : de 1 hasta 15 digitos numericos 
No se Admite  
 --- Espacios 
 --- Null </t>
  </si>
  <si>
    <t xml:space="preserve"> =Y(LARGO(Q2)&gt;=1;LARGO(Q2)&lt;=15;VALOR(Q2)&gt;=0)</t>
  </si>
  <si>
    <t xml:space="preserve"> =Y(LARGO(R2)&gt;=1;LARGO(R2)&lt;=64;ESERROR(HALLAR(" ";R2;1));IZQUIERDA(R2;1)&lt;&gt;"0";MAYUSC(R2)&lt;&gt;"NULL")</t>
  </si>
  <si>
    <t>rangoconnombre</t>
  </si>
  <si>
    <t>_01T03_Transaccion_tipoNota</t>
  </si>
  <si>
    <t>_02U01_Usuario_tipoDocumentoIdentificacion</t>
  </si>
  <si>
    <t>_02U03_Usuario_tipoUsuario</t>
  </si>
  <si>
    <t>_02U05_Usuario_codSexo</t>
  </si>
  <si>
    <t>_02U06_Usuario_codPaisResidencia</t>
  </si>
  <si>
    <t>_02U07_Usuario_codMunicipioResidencia</t>
  </si>
  <si>
    <t>_02U08_Usuario_codZonaTerritorialResidencia</t>
  </si>
  <si>
    <t>_02U09_Usuario_incapacidad</t>
  </si>
  <si>
    <t>_02U11_Usuario_codPaisOrigen</t>
  </si>
  <si>
    <t>_03C05_Consulta_modalidadGrupoServicioTecSal</t>
  </si>
  <si>
    <t>_03C06_Consulta_grupoServicios</t>
  </si>
  <si>
    <t>_03C07_Consulta_codServicio</t>
  </si>
  <si>
    <t>_03C08_Consulta_FinalidadTecnologiaSalud</t>
  </si>
  <si>
    <t>_03C09_Consulta_causaMotivoAtencion</t>
  </si>
  <si>
    <t>_03C14_Consulta_tipoDiagnosticoPrincipal</t>
  </si>
  <si>
    <t>_03C15_Consulta_tipoDocumentoIdentificacion</t>
  </si>
  <si>
    <t>_03C18_Consulta_conceptoRecaudo</t>
  </si>
  <si>
    <t>_04P06_Procedimientos_viaIngresoServicioSalud</t>
  </si>
  <si>
    <t>_04P07_Procedimientos_modalidadGrupoServicioTecSal</t>
  </si>
  <si>
    <t>_04P08_Procedimientos_grupoServicios</t>
  </si>
  <si>
    <t>_04P09_Procedimientos_codservicio</t>
  </si>
  <si>
    <t>_04P10_Procedimientos_finalidadTecnologiaSalud</t>
  </si>
  <si>
    <t>_04P11_Procedimientos_tipoDocumentoIdentificacion</t>
  </si>
  <si>
    <t>_04P17_Procedimientos_conceptoRecaudo</t>
  </si>
  <si>
    <t>_05R03_Urgencias_causaMotivoAtencion</t>
  </si>
  <si>
    <t>_05R09_Urgencias_condicionDestinoUsuarioEgreso</t>
  </si>
  <si>
    <t>_06H02_Hospitalizacion_viaIngresoServicioSalud</t>
  </si>
  <si>
    <t>_06H05_Hospitalizacion_causaMotivoAtencion</t>
  </si>
  <si>
    <t>_06H12_Hospitalizacion_condicionDestinoUsuarioEgreso</t>
  </si>
  <si>
    <t>_07N02_Recien_Nacidos_tipoDocumentoIdentificacion</t>
  </si>
  <si>
    <t>_07N07_Recien_Nacidos_codSexoBiologico</t>
  </si>
  <si>
    <t>_07N10_Recien_Nacidos_condicionDestinoUsuarioEgreso</t>
  </si>
  <si>
    <t>_08M07_Medicamentos_tipoMedicamento</t>
  </si>
  <si>
    <t>_08M11_Medicamentos_unidadMedida</t>
  </si>
  <si>
    <t>_08M12_Medicamentos_formaFarmaceutica</t>
  </si>
  <si>
    <t>_08M13_Medicamentos_unidadMinDispensa</t>
  </si>
  <si>
    <t>_08M16_Medicamentos_tipoDocumentoIdentificacion</t>
  </si>
  <si>
    <t>_08M20_Medicamentos_conceptoRecaudo</t>
  </si>
  <si>
    <t>_09S05_Otros_Servicios_tipoOS</t>
  </si>
  <si>
    <t>_09S09_Otros_Servicios_tipoDocumentoIdentificacion</t>
  </si>
  <si>
    <t>_09S13_Otros_Servicios_conceptoRecaudo</t>
  </si>
  <si>
    <t>_02U02_numDocumentoIdObligado</t>
  </si>
  <si>
    <t>_02U_Doc_Ident</t>
  </si>
  <si>
    <t>_02U01_por_tipo_tipoDocumentoIdentificacion</t>
  </si>
  <si>
    <t>=Listas!$G$11:$G$15</t>
  </si>
  <si>
    <t>=Listas!$H$11:$H$26</t>
  </si>
  <si>
    <t>=Listas!$I$11:$I$23</t>
  </si>
  <si>
    <t>=Listas!$J$11:$J$13</t>
  </si>
  <si>
    <t>=Listas!$K$11:$K$259</t>
  </si>
  <si>
    <t>=Listas!$L$11:$L$1135</t>
  </si>
  <si>
    <t>=Listas!$M$11:$M$13</t>
  </si>
  <si>
    <t>=Listas!$N$11:$N$12</t>
  </si>
  <si>
    <t>=Listas!$O$11:$O$259</t>
  </si>
  <si>
    <t>=Listas!$P$11:$P$18</t>
  </si>
  <si>
    <t>=Listas!$Q$11:$Q$15</t>
  </si>
  <si>
    <t>=Listas!$R$11:$R$167</t>
  </si>
  <si>
    <t>=Listas!$S$11:$S$44</t>
  </si>
  <si>
    <t>=Listas!$T$11:$T$39</t>
  </si>
  <si>
    <t>=Listas!$U$11:$U$13</t>
  </si>
  <si>
    <t>=Listas!$V$11:$V$26</t>
  </si>
  <si>
    <t>=Listas!$W$11:$W$15</t>
  </si>
  <si>
    <t>=Listas!$X$11:$X$24</t>
  </si>
  <si>
    <t>=Listas!$Y$11:$Y$18</t>
  </si>
  <si>
    <t>=Listas!$Z$11:$Z$15</t>
  </si>
  <si>
    <t>=Listas!$AA$11:$AA$167</t>
  </si>
  <si>
    <t>=Listas!$AB$11:$AB$44</t>
  </si>
  <si>
    <t>=Listas!$AC$11:$AC$26</t>
  </si>
  <si>
    <t>=Listas!$AD$11:$AD$15</t>
  </si>
  <si>
    <t>=Listas!$AE$11:$AE$39</t>
  </si>
  <si>
    <t>=Listas!$AF$11:$AF$18</t>
  </si>
  <si>
    <t>=Listas!$AG$11:$AG$24</t>
  </si>
  <si>
    <t>=Listas!$AH$11:$AH$39</t>
  </si>
  <si>
    <t>=Listas!$AI$11:$AI$18</t>
  </si>
  <si>
    <t>=Listas!$AJ$11:$AJ$13</t>
  </si>
  <si>
    <t>=Listas!$AK$11:$AK$13</t>
  </si>
  <si>
    <t>=Listas!$AL$11:$AL$18</t>
  </si>
  <si>
    <t>=Listas!$AM$11:$AM$15</t>
  </si>
  <si>
    <t>=Listas!$AN$11:$AN$283</t>
  </si>
  <si>
    <t>=Listas!$AO$11:$AO$58</t>
  </si>
  <si>
    <t>=Listas!$AP$11:$AP$88</t>
  </si>
  <si>
    <t>=Listas!$AQ$11:$AQ$27</t>
  </si>
  <si>
    <t>=Listas!$AR$11:$AR$15</t>
  </si>
  <si>
    <t>=Listas!$AS$11:$AS$16</t>
  </si>
  <si>
    <t>=Listas!$AT$11:$AT$27</t>
  </si>
  <si>
    <t>=Listas!$AU$11:$AU$15</t>
  </si>
  <si>
    <t>=usuarios!$C$1:$C$2</t>
  </si>
  <si>
    <t>=_02U[numDocumentoIdentificacion]</t>
  </si>
  <si>
    <t>=_02U[[#Todo];[tipoDocumentoIdentificacion]:[consecutivo]]</t>
  </si>
  <si>
    <t>=Listas!$AW$10:$AW$19</t>
  </si>
  <si>
    <t>=_02U[[#Todo];[numDocumentoIdentificacion]]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</si>
</sst>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Consolas"/>
      <family val="3"/>
    </font>
    <font>
      <sz val="11"/>
      <color rgb="FF3F3F3F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8"/>
      <name val="Calibri"/>
      <family val="2"/>
      <scheme val="minor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C7430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6" tint="0.39997558519241921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</borders>
  <cellStyleXfs count="9">
    <xf numFmtId="0" fontId="0" fillId="0" borderId="0"/>
    <xf numFmtId="0" fontId="1" fillId="2" borderId="1" applyNumberFormat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2" fillId="0" borderId="0"/>
    <xf numFmtId="0" fontId="13" fillId="0" borderId="0"/>
    <xf numFmtId="164" fontId="12" fillId="0" borderId="0" applyFont="0" applyFill="0" applyBorder="0" applyAlignment="0" applyProtection="0"/>
  </cellStyleXfs>
  <cellXfs count="56">
    <xf numFmtId="0" fontId="0" fillId="0" borderId="0" xfId="0"/>
    <xf numFmtId="0" fontId="5" fillId="0" borderId="0" xfId="0" applyFont="1" applyAlignment="1">
      <alignment horizontal="left" vertical="center" indent="1"/>
    </xf>
    <xf numFmtId="0" fontId="0" fillId="4" borderId="2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left" vertical="center" wrapText="1"/>
    </xf>
    <xf numFmtId="49" fontId="0" fillId="0" borderId="0" xfId="0" applyNumberFormat="1"/>
    <xf numFmtId="0" fontId="0" fillId="4" borderId="0" xfId="0" applyFill="1"/>
    <xf numFmtId="0" fontId="10" fillId="10" borderId="0" xfId="0" applyFont="1" applyFill="1"/>
    <xf numFmtId="0" fontId="6" fillId="6" borderId="0" xfId="1" applyFont="1" applyFill="1" applyBorder="1" applyAlignment="1" applyProtection="1">
      <alignment horizontal="center" vertical="center" wrapText="1"/>
    </xf>
    <xf numFmtId="0" fontId="10" fillId="11" borderId="2" xfId="1" applyFont="1" applyFill="1" applyBorder="1" applyAlignment="1" applyProtection="1">
      <alignment horizontal="center" vertical="center" wrapText="1"/>
    </xf>
    <xf numFmtId="15" fontId="0" fillId="0" borderId="0" xfId="0" applyNumberFormat="1"/>
    <xf numFmtId="49" fontId="10" fillId="10" borderId="0" xfId="0" applyNumberFormat="1" applyFont="1" applyFill="1"/>
    <xf numFmtId="0" fontId="10" fillId="10" borderId="2" xfId="0" applyFont="1" applyFill="1" applyBorder="1" applyAlignment="1">
      <alignment horizontal="left" vertical="center" wrapText="1"/>
    </xf>
    <xf numFmtId="49" fontId="0" fillId="0" borderId="0" xfId="0" applyNumberFormat="1" applyAlignment="1" applyProtection="1">
      <alignment horizontal="center" vertical="center" wrapText="1"/>
      <protection locked="0"/>
    </xf>
    <xf numFmtId="1" fontId="2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/>
    <xf numFmtId="0" fontId="2" fillId="0" borderId="0" xfId="0" applyFont="1" applyAlignment="1">
      <alignment horizontal="center" vertical="center" wrapText="1"/>
    </xf>
    <xf numFmtId="49" fontId="11" fillId="0" borderId="0" xfId="6" applyNumberFormat="1" applyFont="1" applyAlignment="1">
      <alignment horizontal="center" vertical="center"/>
    </xf>
    <xf numFmtId="49" fontId="11" fillId="12" borderId="0" xfId="6" applyNumberFormat="1" applyFont="1" applyFill="1" applyAlignment="1">
      <alignment horizontal="center" vertical="center" wrapText="1"/>
    </xf>
    <xf numFmtId="0" fontId="2" fillId="3" borderId="0" xfId="0" applyFont="1" applyFill="1"/>
    <xf numFmtId="49" fontId="11" fillId="0" borderId="0" xfId="6" applyNumberFormat="1" applyFont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/>
    </xf>
    <xf numFmtId="0" fontId="2" fillId="3" borderId="2" xfId="1" applyFont="1" applyFill="1" applyBorder="1" applyAlignment="1" applyProtection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 applyProtection="1">
      <alignment horizontal="center" vertical="center" wrapText="1"/>
      <protection locked="0"/>
    </xf>
    <xf numFmtId="1" fontId="2" fillId="0" borderId="0" xfId="0" applyNumberFormat="1" applyFont="1" applyAlignment="1" applyProtection="1">
      <alignment horizontal="center" vertical="center" wrapText="1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49" fontId="11" fillId="0" borderId="0" xfId="0" applyNumberFormat="1" applyFont="1" applyAlignment="1" applyProtection="1">
      <alignment horizontal="center" vertical="center" wrapText="1"/>
      <protection locked="0"/>
    </xf>
    <xf numFmtId="49" fontId="7" fillId="0" borderId="0" xfId="0" applyNumberFormat="1" applyFont="1" applyAlignment="1" applyProtection="1">
      <alignment horizontal="center" vertical="center"/>
      <protection locked="0"/>
    </xf>
    <xf numFmtId="0" fontId="2" fillId="13" borderId="4" xfId="0" applyFont="1" applyFill="1" applyBorder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49" fontId="9" fillId="7" borderId="0" xfId="0" applyNumberFormat="1" applyFont="1" applyFill="1" applyAlignment="1">
      <alignment horizontal="center" vertical="center" wrapText="1"/>
    </xf>
    <xf numFmtId="49" fontId="14" fillId="7" borderId="3" xfId="0" applyNumberFormat="1" applyFont="1" applyFill="1" applyBorder="1" applyAlignment="1">
      <alignment horizontal="center" vertical="center" wrapText="1"/>
    </xf>
    <xf numFmtId="49" fontId="14" fillId="7" borderId="0" xfId="0" applyNumberFormat="1" applyFont="1" applyFill="1" applyAlignment="1">
      <alignment horizontal="center" vertical="center" wrapText="1"/>
    </xf>
    <xf numFmtId="49" fontId="14" fillId="5" borderId="0" xfId="0" applyNumberFormat="1" applyFont="1" applyFill="1" applyAlignment="1">
      <alignment horizontal="center" vertical="center" wrapText="1"/>
    </xf>
    <xf numFmtId="49" fontId="14" fillId="3" borderId="0" xfId="0" applyNumberFormat="1" applyFont="1" applyFill="1" applyAlignment="1">
      <alignment horizontal="center" vertical="center" wrapText="1"/>
    </xf>
    <xf numFmtId="49" fontId="9" fillId="7" borderId="3" xfId="0" applyNumberFormat="1" applyFont="1" applyFill="1" applyBorder="1" applyAlignment="1">
      <alignment horizontal="center" vertical="center" wrapText="1"/>
    </xf>
    <xf numFmtId="0" fontId="9" fillId="7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9" fillId="8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14" fillId="7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8" fillId="9" borderId="0" xfId="0" applyFont="1" applyFill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  <xf numFmtId="0" fontId="14" fillId="3" borderId="0" xfId="0" applyFont="1" applyFill="1" applyAlignment="1">
      <alignment horizontal="center" vertical="center" wrapText="1"/>
    </xf>
    <xf numFmtId="49" fontId="18" fillId="9" borderId="0" xfId="0" applyNumberFormat="1" applyFont="1" applyFill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 wrapText="1"/>
    </xf>
    <xf numFmtId="49" fontId="16" fillId="14" borderId="0" xfId="0" applyNumberFormat="1" applyFont="1" applyFill="1" applyAlignment="1">
      <alignment horizontal="center" vertical="center" wrapText="1"/>
    </xf>
    <xf numFmtId="49" fontId="15" fillId="14" borderId="0" xfId="0" applyNumberFormat="1" applyFont="1" applyFill="1" applyAlignment="1">
      <alignment horizontal="center" vertical="center" wrapText="1"/>
    </xf>
    <xf numFmtId="1" fontId="0" fillId="0" borderId="0" xfId="0" applyNumberFormat="1" applyAlignment="1" applyProtection="1">
      <alignment horizontal="center" vertical="center" wrapText="1"/>
      <protection locked="0"/>
    </xf>
    <xf numFmtId="49" fontId="19" fillId="4" borderId="0" xfId="0" applyNumberFormat="1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</cellXfs>
  <cellStyles count="9">
    <cellStyle name="Millares" xfId="2" builtinId="3"/>
    <cellStyle name="Millares 2" xfId="3"/>
    <cellStyle name="Millares 2 2" xfId="5"/>
    <cellStyle name="Millares 3" xfId="4"/>
    <cellStyle name="Millares 4" xfId="8"/>
    <cellStyle name="Normal" xfId="0" builtinId="0"/>
    <cellStyle name="Normal 2" xfId="7"/>
    <cellStyle name="Normal 3" xfId="6"/>
    <cellStyle name="Salida" xfId="1" builtinId="21"/>
  </cellStyles>
  <dxfs count="244"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6"/>
        </top>
        <bottom style="thin">
          <color theme="6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color auto="1"/>
        <family val="2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6"/>
        </top>
        <bottom style="thin">
          <color theme="6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color auto="1"/>
        <family val="2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6"/>
        </top>
        <bottom style="thin">
          <color theme="6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color auto="1"/>
        <family val="2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color auto="1"/>
        <family val="2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color auto="1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family val="2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color auto="1"/>
        <family val="2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color auto="1"/>
        <family val="2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ont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border diagonalUp="0" diagonalDown="0">
        <left/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strike val="0"/>
        <outline val="0"/>
        <shadow val="0"/>
        <u val="none"/>
        <vertAlign val="baseline"/>
        <color auto="1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theme="6" tint="0.39997558519241921"/>
        </top>
      </border>
    </dxf>
    <dxf>
      <border outline="0">
        <left style="thin">
          <color theme="6" tint="0.39997558519241921"/>
        </left>
        <right style="thin">
          <color theme="6" tint="0.39997558519241921"/>
        </right>
        <top style="thin">
          <color indexed="64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</dxfs>
  <tableStyles count="2" defaultTableStyle="TableStyleMedium2" defaultPivotStyle="PivotStyleLight16">
    <tableStyle name="Estilo de tabla 1" pivot="0" count="2">
      <tableStyleElement type="firstRowStripe" dxfId="243"/>
      <tableStyleElement type="secondRowStripe" dxfId="242"/>
    </tableStyle>
    <tableStyle name="Invisible" pivot="0" table="0" count="0"/>
  </tableStyles>
  <colors>
    <mruColors>
      <color rgb="FF4C7430"/>
      <color rgb="FF007A00"/>
      <color rgb="FF006400"/>
      <color rgb="FF006600"/>
      <color rgb="FF336600"/>
      <color rgb="FF009900"/>
      <color rgb="FFFFFFCC"/>
      <color rgb="FFFF6600"/>
      <color rgb="FFFF00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id="3" name="_01T" displayName="_01T" ref="A1:D2" totalsRowShown="0" headerRowDxfId="237" dataDxfId="235" headerRowBorderDxfId="236" tableBorderDxfId="234" totalsRowBorderDxfId="233">
  <autoFilter ref="A1:D2"/>
  <tableColumns count="4">
    <tableColumn id="1" name="numDocumentoIdObligado" dataDxfId="232"/>
    <tableColumn id="2" name="numFactura" dataDxfId="231"/>
    <tableColumn id="3" name="tipoNota" dataDxfId="230"/>
    <tableColumn id="4" name="numNota" dataDxfId="229"/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id="1" name="_02U" displayName="_02U" ref="A1:M2" totalsRowShown="0" headerRowDxfId="226" dataDxfId="225" tableBorderDxfId="224">
  <autoFilter ref="A1:M2"/>
  <tableColumns count="13">
    <tableColumn id="2" name="tipoDocumentoIdentificacion" dataDxfId="223"/>
    <tableColumn id="3" name="numDocumentoIdentificacion" dataDxfId="222"/>
    <tableColumn id="1" name="num_DocumentoIdObligado" dataDxfId="221">
      <calculatedColumnFormula>IF($B2="","",transaccion!$A$2)</calculatedColumnFormula>
    </tableColumn>
    <tableColumn id="4" name="tipoUsuario" dataDxfId="220"/>
    <tableColumn id="5" name="fechaNacimiento" dataDxfId="219"/>
    <tableColumn id="6" name="codSexo" dataDxfId="218"/>
    <tableColumn id="7" name="codPaisResidencia" dataDxfId="217"/>
    <tableColumn id="8" name="codMunicipioResidencia" dataDxfId="216"/>
    <tableColumn id="9" name="codZonaTerritorialResidencia" dataDxfId="215"/>
    <tableColumn id="10" name="incapacidad" dataDxfId="214"/>
    <tableColumn id="12" name="codPaisOrigen" dataDxfId="213"/>
    <tableColumn id="13" name="registroSIRAS" dataDxfId="212"/>
    <tableColumn id="11" name="consecutivo" dataDxfId="211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id="2" name="_03C" displayName="_03C" ref="A1:AF2" totalsRowShown="0" headerRowDxfId="209" dataDxfId="208">
  <autoFilter ref="A1:AF2"/>
  <tableColumns count="32">
    <tableColumn id="22" name="num_DocumentoIdObligado" dataDxfId="207">
      <calculatedColumnFormula>IF($B2="","",transaccion!$A$2)</calculatedColumnFormula>
    </tableColumn>
    <tableColumn id="24" name="consecutivoUsuario" dataDxfId="206"/>
    <tableColumn id="1" name="codPrestador" dataDxfId="205"/>
    <tableColumn id="2" name="fechaInicioAtencion" dataDxfId="204"/>
    <tableColumn id="3" name="numAutorizacion" dataDxfId="203"/>
    <tableColumn id="4" name="codConsulta" dataDxfId="202"/>
    <tableColumn id="5" name="modalidadGrupoServicioTecSal" dataDxfId="201"/>
    <tableColumn id="6" name="grupoServicios" dataDxfId="200"/>
    <tableColumn id="7" name="codServicio" dataDxfId="199"/>
    <tableColumn id="8" name="finalidadTecnologiaSalud" dataDxfId="198"/>
    <tableColumn id="9" name="causaMotivoAtencion" dataDxfId="197"/>
    <tableColumn id="10" name="codDiagnosticoPrincipal" dataDxfId="196"/>
    <tableColumn id="23" name="codDiagnosticoPrincipalCIE11" dataDxfId="195"/>
    <tableColumn id="25" name="nomCodDiagnosticoPrincipalCIE11" dataDxfId="194"/>
    <tableColumn id="11" name="codDiagnosticoRelacionado1" dataDxfId="193"/>
    <tableColumn id="26" name="codDiagnosticoRelacionado1CIE11" dataDxfId="192"/>
    <tableColumn id="27" name="nomCodDiagnosticoRelacionado1CIE11" dataDxfId="191"/>
    <tableColumn id="12" name="codDiagnosticoRelacionado2" dataDxfId="190"/>
    <tableColumn id="28" name="codDiagnosticoRelacionado2CIE11" dataDxfId="189"/>
    <tableColumn id="29" name="nomCodDiagnosticoRelacionado2CIE11" dataDxfId="188"/>
    <tableColumn id="13" name="codDiagnosticoRelacionado3" dataDxfId="187"/>
    <tableColumn id="30" name="codDiagnosticoRelacionado3CIE11" dataDxfId="186"/>
    <tableColumn id="31" name="nomCodDiagnosticoRelacionado3CIE11" dataDxfId="185"/>
    <tableColumn id="14" name="tipoDiagnosticoPrincipal" dataDxfId="184"/>
    <tableColumn id="15" name="tipoDocumentoIdentificacion" dataDxfId="183"/>
    <tableColumn id="16" name="numDocumentoIdentificacion" dataDxfId="182"/>
    <tableColumn id="17" name="vrServicio" dataDxfId="181"/>
    <tableColumn id="18" name="conceptoRecaudo" dataDxfId="180"/>
    <tableColumn id="19" name="valorPagoModerador" dataDxfId="179"/>
    <tableColumn id="20" name="numFEVPagoModerador" dataDxfId="178"/>
    <tableColumn id="32" name="codigoVIDA" dataDxfId="177"/>
    <tableColumn id="21" name="consecutivo" dataDxfId="176"/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id="5" name="_05R" displayName="_05R" ref="A1:AA2" totalsRowShown="0" headerRowDxfId="174" dataDxfId="173">
  <autoFilter ref="A1:AA2"/>
  <tableColumns count="27">
    <tableColumn id="13" name="num_DocumentoIdObligado" dataDxfId="172">
      <calculatedColumnFormula>IF($B2="","",transaccion!$A$2)</calculatedColumnFormula>
    </tableColumn>
    <tableColumn id="15" name="consecutivoUsuario" dataDxfId="171"/>
    <tableColumn id="1" name="codPrestador" dataDxfId="170"/>
    <tableColumn id="2" name="fechaInicioAtencion" dataDxfId="169"/>
    <tableColumn id="3" name="causaMotivoAtencion" dataDxfId="168"/>
    <tableColumn id="4" name="codDiagnosticoPrincipal" dataDxfId="167"/>
    <tableColumn id="14" name="codDiagnosticoPrincipalCIE11" dataDxfId="166"/>
    <tableColumn id="16" name="nomCodDiagnosticoPrincipalCIE11" dataDxfId="165"/>
    <tableColumn id="5" name="codDiagnosticoPrincipalE" dataDxfId="164"/>
    <tableColumn id="17" name="codDiagnosticoPrincipalECIE11" dataDxfId="163"/>
    <tableColumn id="18" name="nomCodDiagnosticoPrincipalECIE11" dataDxfId="162"/>
    <tableColumn id="6" name="codDiagnosticoRelacionadoE1" dataDxfId="161"/>
    <tableColumn id="19" name="codDiagnosticoRelacionadoE1CIE11" dataDxfId="160"/>
    <tableColumn id="20" name="nomCodDiagnosticoRelacionadoE1CIE11" dataDxfId="159"/>
    <tableColumn id="7" name="codDiagnosticoRelacionadoE2" dataDxfId="158"/>
    <tableColumn id="21" name="codDiagnosticoRelacionadoE2CIE11" dataDxfId="157"/>
    <tableColumn id="22" name="nomCodDiagnosticoRelacionadoE2CIE11" dataDxfId="156"/>
    <tableColumn id="8" name="codDiagnosticoRelacionadoE3" dataDxfId="155"/>
    <tableColumn id="23" name="codDiagnosticoRelacionadoE3CIE11" dataDxfId="154"/>
    <tableColumn id="24" name="nomCodDiagnosticoRelacionadoE3CIE11" dataDxfId="153"/>
    <tableColumn id="9" name="condicionDestinoUsuarioEgreso" dataDxfId="152"/>
    <tableColumn id="10" name="codDiagnosticoCausaMuerte" dataDxfId="151"/>
    <tableColumn id="25" name="codDiagnosticoCausaMuerteCIE11" dataDxfId="150"/>
    <tableColumn id="26" name="nomCodDiagnosticoCausaMuerteCIE11" dataDxfId="149"/>
    <tableColumn id="11" name="fechaEgreso" dataDxfId="148"/>
    <tableColumn id="27" name="codigoVIDA" dataDxfId="147"/>
    <tableColumn id="12" name="consecutivo" dataDxfId="146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4" name="_04P" displayName="_04P" ref="A1:AC2" totalsRowShown="0" headerRowDxfId="144" dataDxfId="143">
  <autoFilter ref="A1:AC2"/>
  <tableColumns count="29">
    <tableColumn id="21" name="num_DocumentoIdObligado" dataDxfId="142">
      <calculatedColumnFormula>IF($B2="","",transaccion!$A$2)</calculatedColumnFormula>
    </tableColumn>
    <tableColumn id="23" name="consecutivoUsuario" dataDxfId="141"/>
    <tableColumn id="1" name="codPrestador" dataDxfId="140"/>
    <tableColumn id="2" name="fechaInicioAtencion" dataDxfId="139"/>
    <tableColumn id="3" name="idMIPRES" dataDxfId="138"/>
    <tableColumn id="4" name="numAutorizacion" dataDxfId="137"/>
    <tableColumn id="5" name="codProcedimiento" dataDxfId="136"/>
    <tableColumn id="6" name="viaIngresoServicioSalud" dataDxfId="135"/>
    <tableColumn id="7" name="modalidadGrupoServicioTecSal" dataDxfId="134"/>
    <tableColumn id="8" name="grupoServicios" dataDxfId="133"/>
    <tableColumn id="9" name="codServicio" dataDxfId="132"/>
    <tableColumn id="10" name="finalidadTecnologiaSalud" dataDxfId="131"/>
    <tableColumn id="11" name="tipoDocumentoIdentificacion" dataDxfId="130"/>
    <tableColumn id="12" name="numDocumentoIdentificacion" dataDxfId="129"/>
    <tableColumn id="13" name="codDiagnosticoPrincipal" dataDxfId="128"/>
    <tableColumn id="22" name="codDiagnosticoPrincipalCIE11" dataDxfId="127"/>
    <tableColumn id="24" name="nomCodDiagnosticoPrincipalCIE11" dataDxfId="126"/>
    <tableColumn id="14" name="codDiagnosticoRelacionado" dataDxfId="125"/>
    <tableColumn id="25" name="codDiagnosticoRelacionadoCIE11" dataDxfId="124"/>
    <tableColumn id="26" name="nomCodDiagnosticoRelacionadoCIE11" dataDxfId="123"/>
    <tableColumn id="15" name="codComplicacion" dataDxfId="122"/>
    <tableColumn id="27" name="codComplicacionCIE11" dataDxfId="121"/>
    <tableColumn id="28" name="nomCodComplicacionCIE11" dataDxfId="120"/>
    <tableColumn id="16" name="vrServicio" dataDxfId="119"/>
    <tableColumn id="17" name="conceptoRecaudo" dataDxfId="118"/>
    <tableColumn id="18" name="valorPagoModerador" dataDxfId="117"/>
    <tableColumn id="19" name="numFEVPagoModerador" dataDxfId="116"/>
    <tableColumn id="29" name="codigoVIDA" dataDxfId="115"/>
    <tableColumn id="20" name="consecutivo" dataDxfId="114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id="6" name="_06H" displayName="_06H" ref="A1:AF2" totalsRowShown="0" headerRowDxfId="112" dataDxfId="111">
  <autoFilter ref="A1:AF2"/>
  <tableColumns count="32">
    <tableColumn id="16" name="num_DocumentoIdObligado" dataDxfId="110">
      <calculatedColumnFormula>IF($B2="","",transaccion!$A$2)</calculatedColumnFormula>
    </tableColumn>
    <tableColumn id="18" name="consecutivoUsuario" dataDxfId="109"/>
    <tableColumn id="1" name="codPrestador" dataDxfId="108"/>
    <tableColumn id="2" name="viaIngresoServicioSalud" dataDxfId="107"/>
    <tableColumn id="3" name="fechaInicioAtencion" dataDxfId="106"/>
    <tableColumn id="4" name="numAutorizacion" dataDxfId="105"/>
    <tableColumn id="5" name="causaMotivoAtencion" dataDxfId="104"/>
    <tableColumn id="6" name="codDiagnosticoPrincipal" dataDxfId="103"/>
    <tableColumn id="17" name="codDiagnosticoPrincipalCIE11" dataDxfId="102"/>
    <tableColumn id="19" name="nomCodDiagnosticoPrincipalCIE11" dataDxfId="101"/>
    <tableColumn id="7" name="codDiagnosticoPrincipalE" dataDxfId="100"/>
    <tableColumn id="20" name="codDiagnosticoPrincipalECIE11" dataDxfId="99"/>
    <tableColumn id="21" name="nomCodDiagnosticoPrincipalECIE11" dataDxfId="98"/>
    <tableColumn id="8" name="codDiagnosticoRelacionadoE1" dataDxfId="97"/>
    <tableColumn id="22" name="codDiagnosticoRelacionadoE1CIE11" dataDxfId="96"/>
    <tableColumn id="23" name="nomCodDiagnosticoRelacionadoE1CIE11" dataDxfId="95"/>
    <tableColumn id="9" name="codDiagnosticoRelacionadoE2" dataDxfId="94"/>
    <tableColumn id="24" name="codDiagnosticoRelacionadoE2CIE11" dataDxfId="93"/>
    <tableColumn id="25" name="nomCodDiagnosticoRelacionadoE2CIE11" dataDxfId="92"/>
    <tableColumn id="10" name="codDiagnosticoRelacionadoE3" dataDxfId="91"/>
    <tableColumn id="26" name="codDiagnosticoRelacionadoE3CIE11" dataDxfId="90"/>
    <tableColumn id="27" name="nomCodDiagnosticoRelacionadoE3CIE11" dataDxfId="89"/>
    <tableColumn id="11" name="codComplicacion" dataDxfId="88"/>
    <tableColumn id="28" name="codComplicacionCIE11" dataDxfId="87"/>
    <tableColumn id="29" name="nomCodComplicacionCIE11" dataDxfId="86"/>
    <tableColumn id="12" name="condicionDestinoUsuarioEgreso" dataDxfId="85"/>
    <tableColumn id="13" name="codDiagnosticoCausaMuerte" dataDxfId="84"/>
    <tableColumn id="30" name="codDiagnosticoCausaMuerteCIE11" dataDxfId="83"/>
    <tableColumn id="31" name="nomCodDiagnosticoCausaMuerteCIE11" dataDxfId="82"/>
    <tableColumn id="14" name="fechaEgreso" dataDxfId="81"/>
    <tableColumn id="32" name="codigoVIDA" dataDxfId="80"/>
    <tableColumn id="15" name="consecutivo" dataDxfId="79" dataCellStyle="Millares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id="7" name="_07N" displayName="_07N" ref="A1:T2" totalsRowShown="0" headerRowDxfId="77" dataDxfId="76">
  <autoFilter ref="A1:T2"/>
  <tableColumns count="20">
    <tableColumn id="14" name="num_DocumentoIdObligado" dataDxfId="75">
      <calculatedColumnFormula>IF($B2="","",transaccion!$A$2)</calculatedColumnFormula>
    </tableColumn>
    <tableColumn id="16" name="consecutivoUsuario" dataDxfId="74"/>
    <tableColumn id="1" name="codPrestador" dataDxfId="73"/>
    <tableColumn id="2" name="tipoDocumentoIdentificacion" dataDxfId="72"/>
    <tableColumn id="3" name="numDocumentoIdentificacion" dataDxfId="71"/>
    <tableColumn id="4" name="fechaNacimiento" dataDxfId="70"/>
    <tableColumn id="5" name="edadGestacional" dataDxfId="69"/>
    <tableColumn id="6" name="numConsultasCPrenatal" dataDxfId="68"/>
    <tableColumn id="7" name="codSexoBiologico" dataDxfId="67"/>
    <tableColumn id="8" name="peso" dataDxfId="66"/>
    <tableColumn id="9" name="codDiagnosticoPrincipal" dataDxfId="65"/>
    <tableColumn id="15" name="codDiagnosticoPrincipalECIE11" dataDxfId="64"/>
    <tableColumn id="17" name="nomCodDiagnosticoPrincipalECIE11" dataDxfId="63"/>
    <tableColumn id="10" name="condicionDestinoUsuarioEgreso" dataDxfId="62"/>
    <tableColumn id="11" name="codDiagnosticoCausaMuerte" dataDxfId="61"/>
    <tableColumn id="18" name="codDiagnosticoCausaMuerteCIE11" dataDxfId="60"/>
    <tableColumn id="19" name="nomCodDiagnosticoCausaMuerteCIE11" dataDxfId="59"/>
    <tableColumn id="12" name="fechaEgreso" dataDxfId="58"/>
    <tableColumn id="20" name="codigoVIDA" dataDxfId="57"/>
    <tableColumn id="13" name="consecutivo" dataDxfId="56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8" name="_08M" displayName="_08M" ref="A1:AD2" totalsRowShown="0" headerRowDxfId="54" dataDxfId="53">
  <autoFilter ref="A1:AD2"/>
  <tableColumns count="30">
    <tableColumn id="24" name="num_DocumentoIdObligado" dataDxfId="52">
      <calculatedColumnFormula>IF($B2="","",transaccion!$A$2)</calculatedColumnFormula>
    </tableColumn>
    <tableColumn id="26" name="consecutivoUsuario" dataDxfId="51"/>
    <tableColumn id="1" name="codPrestador" dataDxfId="50"/>
    <tableColumn id="3" name="idMIPRES" dataDxfId="49"/>
    <tableColumn id="4" name="fechaDispensAdmon" dataDxfId="48"/>
    <tableColumn id="5" name="codDiagnosticoPrincipal" dataDxfId="47"/>
    <tableColumn id="29" name="codDiagnosticoPrincipalECIE11" dataDxfId="46"/>
    <tableColumn id="28" name="nomCodDiagnosticoPrincipalECIE11" dataDxfId="45"/>
    <tableColumn id="6" name="codDiagnosticoRelacionado" dataDxfId="44"/>
    <tableColumn id="25" name="codDiagnosticoRelacionadoCIE11" dataDxfId="43"/>
    <tableColumn id="27" name="nomCodDiagnosticoRelacionadoCIE11" dataDxfId="42"/>
    <tableColumn id="7" name="tipoMedicamento" dataDxfId="41"/>
    <tableColumn id="8" name="codTecnologiaSalud" dataDxfId="40"/>
    <tableColumn id="9" name="nomTecnologiaSalud" dataDxfId="39"/>
    <tableColumn id="10" name="concentracionMedicamento" dataDxfId="38" dataCellStyle="Millares"/>
    <tableColumn id="11" name="unidadMedida" dataDxfId="37"/>
    <tableColumn id="12" name="formaFarmaceutica" dataDxfId="36"/>
    <tableColumn id="13" name="unidadMinDispensa" dataDxfId="35"/>
    <tableColumn id="14" name="cantidadMedicamento" dataDxfId="34"/>
    <tableColumn id="15" name="diasTratamiento" dataDxfId="33"/>
    <tableColumn id="16" name="tipoDocumentoIdentificacion" dataDxfId="32"/>
    <tableColumn id="17" name="numDocumentoIdentificacion" dataDxfId="31"/>
    <tableColumn id="18" name="vrUnitMedicamento" dataDxfId="30"/>
    <tableColumn id="30" name="vrDispensacion" dataDxfId="29"/>
    <tableColumn id="19" name="vrServicio" dataDxfId="28"/>
    <tableColumn id="20" name="conceptoRecaudo" dataDxfId="27"/>
    <tableColumn id="21" name="valorPagoModerador" dataDxfId="26"/>
    <tableColumn id="22" name="numFEVPagoModerador" dataDxfId="25"/>
    <tableColumn id="31" name="codigoVIDA" dataDxfId="24"/>
    <tableColumn id="23" name="consecutivo" dataDxfId="23"/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id="9" name="_09S" displayName="_09S" ref="A1:T2" totalsRowShown="0" headerRowDxfId="21" dataDxfId="20">
  <autoFilter ref="A1:T2"/>
  <tableColumns count="20">
    <tableColumn id="17" name="num_DocumentoIdObligado" dataDxfId="19">
      <calculatedColumnFormula>IF($B2="","",transaccion!$A$2)</calculatedColumnFormula>
    </tableColumn>
    <tableColumn id="19" name="consecutivoUsuario" dataDxfId="18"/>
    <tableColumn id="1" name="codPrestador" dataDxfId="17"/>
    <tableColumn id="2" name="numAutorizacion" dataDxfId="16"/>
    <tableColumn id="3" name="idMIPRES" dataDxfId="15"/>
    <tableColumn id="4" name="fechaSuministroTecnologia" dataDxfId="14"/>
    <tableColumn id="5" name="tipoOS" dataDxfId="13"/>
    <tableColumn id="6" name="codTecnologiaSalud" dataDxfId="12"/>
    <tableColumn id="7" name="nomTecnologiaSalud" dataDxfId="11"/>
    <tableColumn id="8" name="cantidadOS" dataDxfId="10" dataCellStyle="Millares"/>
    <tableColumn id="9" name="tipoDocumentoIdentificacion" dataDxfId="9"/>
    <tableColumn id="10" name="numDocumentoIdentificacion" dataDxfId="8"/>
    <tableColumn id="11" name="vrUnitOS" dataDxfId="7" dataCellStyle="Millares"/>
    <tableColumn id="18" name="vrDispensacion" dataDxfId="6"/>
    <tableColumn id="12" name="vrServicio" dataDxfId="5" dataCellStyle="Millares"/>
    <tableColumn id="13" name="conceptoRecaudo" dataDxfId="4"/>
    <tableColumn id="14" name="valorPagoModerador" dataDxfId="3" dataCellStyle="Millares"/>
    <tableColumn id="15" name="numFEVPagoModerador" dataDxfId="2"/>
    <tableColumn id="20" name="codigoVIDA" dataDxfId="1"/>
    <tableColumn id="16" name="consecutivo" dataDxfId="0" dataCellStyle="Millares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0001">
    <tabColor theme="8" tint="-0.499984740745262"/>
  </sheetPr>
  <dimension ref="A1:D2"/>
  <sheetViews>
    <sheetView tabSelected="1" zoomScale="80" zoomScaleNormal="80" workbookViewId="0">
      <pane ySplit="1" topLeftCell="A2" activePane="bottomLeft" state="frozen"/>
      <selection activeCell="L11" sqref="L11"/>
      <selection pane="bottomLeft" activeCell="A2" sqref="A2"/>
    </sheetView>
  </sheetViews>
  <sheetFormatPr baseColWidth="10" defaultColWidth="11.5703125" defaultRowHeight="15" x14ac:dyDescent="0.25"/>
  <cols>
    <col min="1" max="1" width="16.28515625" customWidth="1"/>
    <col min="2" max="3" width="12.7109375" customWidth="1"/>
    <col min="4" max="4" width="23.5703125" customWidth="1"/>
  </cols>
  <sheetData>
    <row r="1" spans="1:4" ht="39" customHeight="1" x14ac:dyDescent="0.25">
      <c r="A1" s="44" t="s">
        <v>0</v>
      </c>
      <c r="B1" s="44" t="s">
        <v>1</v>
      </c>
      <c r="C1" s="44" t="s">
        <v>2</v>
      </c>
      <c r="D1" s="44" t="s">
        <v>3</v>
      </c>
    </row>
    <row r="2" spans="1:4" ht="16.149999999999999" customHeight="1" x14ac:dyDescent="0.25">
      <c r="A2" s="30"/>
      <c r="B2" s="30"/>
      <c r="C2" s="30"/>
      <c r="D2" s="25"/>
    </row>
  </sheetData>
  <sheetProtection algorithmName="SHA-512" hashValue="DORS+0SebmQoy/a2DINQcc2ZJ0utU/9NFGd95T0kmVXNQsxJ6JDLhP4KugC4UnJk+TdTtn4Ct4/TAhxFWOZ03w==" saltValue="md31caB1X/G8+ezA4LlahA==" spinCount="100000" sheet="1" formatCells="0" formatColumns="0" formatRows="0" selectLockedCells="1" autoFilter="0"/>
  <conditionalFormatting sqref="A2:D2">
    <cfRule type="expression" dxfId="241" priority="1">
      <formula>IF(COUNTA($A$2:$D$2)&lt;=4,1,0)</formula>
    </cfRule>
    <cfRule type="expression" dxfId="240" priority="4">
      <formula>IF(A2="",1,0)</formula>
    </cfRule>
  </conditionalFormatting>
  <conditionalFormatting sqref="C2">
    <cfRule type="expression" dxfId="239" priority="3">
      <formula>IF(OR($A2="",$B2="",$C2="",$D2=""),1,0)</formula>
    </cfRule>
  </conditionalFormatting>
  <conditionalFormatting sqref="D2">
    <cfRule type="expression" dxfId="238" priority="2">
      <formula>IF(OR($A2="",$B2="",$C2="",$D2=""),1,0)</formula>
    </cfRule>
  </conditionalFormatting>
  <dataValidations count="4">
    <dataValidation type="custom" allowBlank="1" showInputMessage="1" showErrorMessage="1" error="Tipo de dato ( C ) Caracter  _x000a_Largo De 1 Hasta 20 Caracteres_x000a__x000a_No se Admite _x000a_--- Inicie con   0 (Cero) _x000a_--- Null" sqref="D2">
      <formula1>AND(D2&lt;&gt;"null",OR(AND(LEN(D2)&gt;=0,LEN(D2)&lt;=20,LEFT(D2)&lt;&gt;"0",ISERROR(SEARCH(" ",D2,1)))))</formula1>
    </dataValidation>
    <dataValidation type="list" showInputMessage="1" showErrorMessage="1" error="Tipo de dato ( C ) Caracter _x000a_Seleccióne valor de la Lista Desplegable" sqref="C2">
      <formula1>_01T03_Transaccion_tipoNota</formula1>
    </dataValidation>
    <dataValidation type="custom" allowBlank="1" showInputMessage="1" showErrorMessage="1" error="Tipo de dato ( C ) Caracter  _x000a_Largo De 4 Hasta 12 Caracteres Numericos_x000a__x000a_No se Admite _x000a_--- Inicie con   0 (Cero)_x000a_--- Espacios " sqref="A2">
      <formula1>AND(LEN(A2)&gt;=4,LEN(A2)&lt;=12,LEFT(A2)&lt;&gt;"0",ISERROR(SEARCH(" ",A2,1)))</formula1>
    </dataValidation>
    <dataValidation type="custom" allowBlank="1" showInputMessage="1" showErrorMessage="1" error="Tipo de dato ( C ) Caracter  _x000a_Verificar Disposcion DIAN para prestadores de Salud_x000a_No se Admite  _x000a_ --- Inicie con 0 (cero)  _x000a_ --- Espacios _x000a_ --- Null  " sqref="B2">
      <formula1>AND(LEN(B2)&gt;=1,LEN(B2)&lt;=64,ISERROR(SEARCH(" ",B2,1)),LEFT(B2,1)&lt;&gt;"0",UPPER(B2)&lt;&gt;"NULL")</formula1>
    </dataValidation>
  </dataValidations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0002">
    <tabColor theme="9" tint="-0.499984740745262"/>
  </sheetPr>
  <dimension ref="A1:M2"/>
  <sheetViews>
    <sheetView zoomScale="80" zoomScaleNormal="80" workbookViewId="0">
      <pane ySplit="1" topLeftCell="A2" activePane="bottomLeft" state="frozen"/>
      <selection activeCell="L11" sqref="L11"/>
      <selection pane="bottomLeft" activeCell="L11" sqref="L11"/>
    </sheetView>
  </sheetViews>
  <sheetFormatPr baseColWidth="10" defaultColWidth="11.5703125" defaultRowHeight="15" x14ac:dyDescent="0.25"/>
  <cols>
    <col min="1" max="1" width="12.7109375" customWidth="1"/>
    <col min="2" max="2" width="15.28515625" customWidth="1"/>
    <col min="3" max="13" width="12.7109375" customWidth="1"/>
  </cols>
  <sheetData>
    <row r="1" spans="1:13" ht="39" customHeight="1" x14ac:dyDescent="0.25">
      <c r="A1" s="35" t="s">
        <v>21</v>
      </c>
      <c r="B1" s="35" t="s">
        <v>22</v>
      </c>
      <c r="C1" s="34" t="s">
        <v>1572</v>
      </c>
      <c r="D1" s="35" t="s">
        <v>4</v>
      </c>
      <c r="E1" s="36" t="s">
        <v>5</v>
      </c>
      <c r="F1" s="35" t="s">
        <v>6</v>
      </c>
      <c r="G1" s="35" t="s">
        <v>7</v>
      </c>
      <c r="H1" s="35" t="s">
        <v>8</v>
      </c>
      <c r="I1" s="35" t="s">
        <v>9</v>
      </c>
      <c r="J1" s="35" t="s">
        <v>10</v>
      </c>
      <c r="K1" s="35" t="s">
        <v>11</v>
      </c>
      <c r="L1" s="51" t="s">
        <v>1708</v>
      </c>
      <c r="M1" s="37" t="s">
        <v>1552</v>
      </c>
    </row>
    <row r="2" spans="1:13" x14ac:dyDescent="0.25">
      <c r="A2" s="28"/>
      <c r="B2" s="28"/>
      <c r="C2" s="32" t="str">
        <f>IF($B2="","",transaccion!$A$2)</f>
        <v/>
      </c>
      <c r="D2" s="28"/>
      <c r="E2" s="25"/>
      <c r="F2" s="28"/>
      <c r="G2" s="28"/>
      <c r="H2" s="28"/>
      <c r="I2" s="28"/>
      <c r="J2" s="28"/>
      <c r="K2" s="28"/>
      <c r="L2" s="29"/>
      <c r="M2" s="26"/>
    </row>
  </sheetData>
  <sheetProtection formatCells="0" formatColumns="0" formatRows="0" selectLockedCells="1" autoFilter="0"/>
  <dataConsolidate/>
  <conditionalFormatting sqref="A2:B2">
    <cfRule type="expression" dxfId="228" priority="2">
      <formula>IF(A2="",1,0)</formula>
    </cfRule>
  </conditionalFormatting>
  <conditionalFormatting sqref="D2:M2">
    <cfRule type="expression" dxfId="227" priority="1">
      <formula>IF(D2="",1,0)</formula>
    </cfRule>
  </conditionalFormatting>
  <dataValidations count="13">
    <dataValidation allowBlank="1" showInputMessage="1" showErrorMessage="1" error=" " sqref="C2"/>
    <dataValidation type="custom" allowBlank="1" showInputMessage="1" showErrorMessage="1" error="Tipo de dato ( C ) Caracter  _x000a_Largo De 4 Hasta 20 Caracteres_x000a__x000a_No se Admite _x000a_--- Inicie con   0 (Cero) _x000a_--- Espacios" sqref="B2">
      <formula1>AND(B2&lt;&gt;"Null",LEN(B2)&gt;=4,LEN(B2)&lt;=20,LEFT(B2)&lt;&gt;"0",ISERROR(SEARCH(" ",B2,1)))</formula1>
    </dataValidation>
    <dataValidation type="custom" allowBlank="1" showInputMessage="1" showErrorMessage="1" error="Tipo de dato ( N ) Numerico _x000a_Largo De  1 Hasta 7 Caracteres Numericos" sqref="M2">
      <formula1>AND(ROUND(VALUE(M2),0)&gt;=0,LEN(M2)&gt;=1,LEN(M2)&lt;=7)</formula1>
    </dataValidation>
    <dataValidation type="list" showInputMessage="1" showErrorMessage="1" error="Tipo de dato ( C ) Caracter _x000a_Seleccióne valor de la Lista Desplegable" sqref="J2">
      <formula1>_02U09_Usuario_incapacidad</formula1>
    </dataValidation>
    <dataValidation type="list" showInputMessage="1" showErrorMessage="1" error="Tipo de dato ( C ) Caracter _x000a_Seleccióne valor de la Lista Desplegable" sqref="I2">
      <formula1>_02U08_Usuario_codZonaTerritorialResidencia</formula1>
    </dataValidation>
    <dataValidation type="list" showInputMessage="1" showErrorMessage="1" error="Tipo de dato ( C ) Caracter _x000a_Seleccióne valor de la Lista Desplegable" sqref="H2">
      <formula1>_02U07_Usuario_codMunicipioResidencia</formula1>
    </dataValidation>
    <dataValidation type="list" showInputMessage="1" showErrorMessage="1" error="Tipo de dato ( C ) Caracter _x000a_Seleccióne valor de la Lista Desplegable_x000a_" sqref="K2">
      <formula1>_02U06_Usuario_codPaisResidencia</formula1>
    </dataValidation>
    <dataValidation type="list" showInputMessage="1" showErrorMessage="1" error="Tipo de dato ( C ) Caracter _x000a_Seleccióne valor de la Lista Desplegable" sqref="F2">
      <formula1>_02U05_Usuario_codSexo</formula1>
    </dataValidation>
    <dataValidation type="list" showInputMessage="1" showErrorMessage="1" error="Tipo de dato ( C ) Caracter _x000a_Seleccióne valor de la Lista Desplegable" sqref="D2">
      <formula1>_02U03_Usuario_tipoUsuario</formula1>
    </dataValidation>
    <dataValidation type="list" showInputMessage="1" showErrorMessage="1" error="Tipo de dato ( C ) Caracter _x000a_Seleccióne valor de la Lista Desplegable" sqref="A2">
      <formula1>_02U01_Usuario_tipoDocumentoIdentificacion</formula1>
    </dataValidation>
    <dataValidation type="custom" operator="lessThanOrEqual" allowBlank="1" showInputMessage="1" showErrorMessage="1" error="Tipo de dato ( C ) Caracter  _x000a_Largo Fijo de 10 Caracteres_x000a__x000a_No se admite  _x000a_--- Fecha superior a la actual_x000a_--- Formato Fecha diferente a _x000a_     aaaa-mm-dd" sqref="E2">
      <formula1>AND(LEN(E2)=10,VALUE(E2)&lt;=NOW())</formula1>
    </dataValidation>
    <dataValidation type="list" showInputMessage="1" showErrorMessage="1" error="Tipo de dato ( C ) Caracter _x000a_Seleccióne valor de la Lista Desplegable" sqref="G2">
      <formula1>_02U06_Usuario_codPaisResidencia</formula1>
    </dataValidation>
    <dataValidation type="custom" allowBlank="1" showInputMessage="1" showErrorMessage="1" error="Tipo de dato ( C ) Caracter  _x000a_Al digitar dato tener en cuenta _x000a_Largo : de 1 hasta 60 _x000a_No se Admite  _x000a_ --- Inicie con 0 (cero)  _x000a_ --- Espacios _x000a_ --- Null " sqref="L2">
      <formula1>AND(LEN(L2)&gt;=1,LEN(L2)&lt;=60,LEFT(L2,1)&lt;&gt;"0",UPPER(L2)&lt;&gt;"NULL")</formula1>
    </dataValidation>
  </dataValidations>
  <pageMargins left="0.7" right="0.7" top="0.75" bottom="0.75" header="0.3" footer="0.3"/>
  <pageSetup orientation="portrait" horizontalDpi="360" verticalDpi="360" r:id="rId1"/>
  <ignoredErrors>
    <ignoredError sqref="C2" listDataValidation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0003">
    <tabColor theme="8" tint="-0.499984740745262"/>
  </sheetPr>
  <dimension ref="A1:AF2"/>
  <sheetViews>
    <sheetView zoomScale="80" zoomScaleNormal="80" workbookViewId="0">
      <pane ySplit="1" topLeftCell="A2" activePane="bottomLeft" state="frozen"/>
      <selection activeCell="L11" sqref="L11"/>
      <selection pane="bottomLeft" activeCell="L11" sqref="L11"/>
    </sheetView>
  </sheetViews>
  <sheetFormatPr baseColWidth="10" defaultColWidth="11.5703125" defaultRowHeight="15" x14ac:dyDescent="0.25"/>
  <cols>
    <col min="1" max="2" width="12.7109375" customWidth="1"/>
    <col min="3" max="3" width="17.140625" customWidth="1"/>
    <col min="4" max="4" width="21.42578125" customWidth="1"/>
    <col min="5" max="25" width="12.7109375" customWidth="1"/>
    <col min="26" max="26" width="20.85546875" customWidth="1"/>
    <col min="27" max="29" width="12.7109375" customWidth="1"/>
    <col min="30" max="30" width="21.28515625" customWidth="1"/>
    <col min="31" max="32" width="12.7109375" customWidth="1"/>
  </cols>
  <sheetData>
    <row r="1" spans="1:32" ht="39" customHeight="1" x14ac:dyDescent="0.25">
      <c r="A1" s="34" t="s">
        <v>1572</v>
      </c>
      <c r="B1" s="44" t="s">
        <v>1571</v>
      </c>
      <c r="C1" s="44" t="s">
        <v>27</v>
      </c>
      <c r="D1" s="45" t="s">
        <v>28</v>
      </c>
      <c r="E1" s="46" t="s">
        <v>43</v>
      </c>
      <c r="F1" s="44" t="s">
        <v>63</v>
      </c>
      <c r="G1" s="35" t="s">
        <v>32</v>
      </c>
      <c r="H1" s="35" t="s">
        <v>12</v>
      </c>
      <c r="I1" s="37" t="s">
        <v>13</v>
      </c>
      <c r="J1" s="35" t="s">
        <v>33</v>
      </c>
      <c r="K1" s="35" t="s">
        <v>15</v>
      </c>
      <c r="L1" s="47" t="s">
        <v>16</v>
      </c>
      <c r="M1" s="51" t="s">
        <v>1709</v>
      </c>
      <c r="N1" s="51" t="s">
        <v>1710</v>
      </c>
      <c r="O1" s="46" t="s">
        <v>17</v>
      </c>
      <c r="P1" s="51" t="s">
        <v>1711</v>
      </c>
      <c r="Q1" s="51" t="s">
        <v>1712</v>
      </c>
      <c r="R1" s="46" t="s">
        <v>18</v>
      </c>
      <c r="S1" s="51" t="s">
        <v>1713</v>
      </c>
      <c r="T1" s="51" t="s">
        <v>1714</v>
      </c>
      <c r="U1" s="46" t="s">
        <v>19</v>
      </c>
      <c r="V1" s="51" t="s">
        <v>1715</v>
      </c>
      <c r="W1" s="51" t="s">
        <v>1716</v>
      </c>
      <c r="X1" s="35" t="s">
        <v>20</v>
      </c>
      <c r="Y1" s="35" t="s">
        <v>21</v>
      </c>
      <c r="Z1" s="35" t="s">
        <v>22</v>
      </c>
      <c r="AA1" s="48" t="s">
        <v>23</v>
      </c>
      <c r="AB1" s="35" t="s">
        <v>24</v>
      </c>
      <c r="AC1" s="48" t="s">
        <v>25</v>
      </c>
      <c r="AD1" s="49" t="s">
        <v>26</v>
      </c>
      <c r="AE1" s="51" t="s">
        <v>1717</v>
      </c>
      <c r="AF1" s="48" t="s">
        <v>1552</v>
      </c>
    </row>
    <row r="2" spans="1:32" x14ac:dyDescent="0.25">
      <c r="A2" s="32" t="str">
        <f>IF($B2="","",transaccion!$A$2)</f>
        <v/>
      </c>
      <c r="B2" s="25"/>
      <c r="C2" s="25"/>
      <c r="D2" s="25"/>
      <c r="E2" s="25"/>
      <c r="F2" s="25"/>
      <c r="G2" s="25"/>
      <c r="H2" s="25"/>
      <c r="I2" s="26"/>
      <c r="J2" s="25"/>
      <c r="K2" s="25"/>
      <c r="L2" s="25"/>
      <c r="M2" s="29"/>
      <c r="N2" s="24"/>
      <c r="O2" s="25"/>
      <c r="P2" s="25"/>
      <c r="Q2" s="24"/>
      <c r="R2" s="25"/>
      <c r="S2" s="25"/>
      <c r="T2" s="24"/>
      <c r="U2" s="25"/>
      <c r="V2" s="29"/>
      <c r="W2" s="24"/>
      <c r="X2" s="25"/>
      <c r="Y2" s="25"/>
      <c r="Z2" s="25"/>
      <c r="AA2" s="26"/>
      <c r="AB2" s="25"/>
      <c r="AC2" s="26"/>
      <c r="AD2" s="25"/>
      <c r="AE2" s="29"/>
      <c r="AF2" s="26"/>
    </row>
  </sheetData>
  <dataConsolidate/>
  <phoneticPr fontId="9" type="noConversion"/>
  <conditionalFormatting sqref="B2:AF2">
    <cfRule type="expression" dxfId="210" priority="7">
      <formula>IF(B2="",1,0)</formula>
    </cfRule>
  </conditionalFormatting>
  <dataValidations count="27">
    <dataValidation type="list" allowBlank="1" showInputMessage="1" showErrorMessage="1" error="Seleccióne valor de la Lista Desplegable" sqref="B2">
      <formula1>_02U_Doc_Ident</formula1>
    </dataValidation>
    <dataValidation allowBlank="1" showInputMessage="1" showErrorMessage="1" error=" " sqref="A2"/>
    <dataValidation type="custom" allowBlank="1" showInputMessage="1" showErrorMessage="1" error="Tipo de dato ( C ) Caracter  _x000a_Largo De 12 Caracteres_x000a__x000a_No se Admite _x000a_--- Espacios" sqref="C2">
      <formula1>AND(VALUE(C2)*1&gt;=1,LEN(C2)=12,ISERROR(SEARCH(" ",C2,1)))</formula1>
    </dataValidation>
    <dataValidation type="custom" allowBlank="1" showInputMessage="1" showErrorMessage="1" error="Tipo de dato ( C ) Caracter  _x000a_Largo De 4 Hasta 20 Caracteres_x000a__x000a_No se Admite _x000a_--- Inicie con   0 (Cero) _x000a_--- Espacios" sqref="Z2">
      <formula1>AND(Z2&lt;&gt;"Null",LEN(Z2)&gt;=4,LEN(Z2)&lt;=20,LEFT(Z2)&lt;&gt;"0",ISERROR(SEARCH(" ",Z2,1)))</formula1>
    </dataValidation>
    <dataValidation type="list" allowBlank="1" showInputMessage="1" showErrorMessage="1" error="Tipo de dato ( C ) Caracter _x000a_Seleccióne valor de la Lista Desplegable" sqref="Y2">
      <formula1>_03C15_Consulta_tipoDocumentoIdentificacion</formula1>
    </dataValidation>
    <dataValidation type="custom" allowBlank="1" showInputMessage="1" showErrorMessage="1" error="Tipo de dato ( N ) Numerico _x000a_Largo De  1 Hasta 10 Caracteres Numericos" sqref="AC2">
      <formula1>AND(VALUE(AC2)&gt;=0,LEN(AC2)&gt;=1,LEN(AC2)&lt;=10)</formula1>
    </dataValidation>
    <dataValidation type="list" allowBlank="1" showInputMessage="1" showErrorMessage="1" error="Tipo de dato ( C ) Caracter _x000a_Seleccióne valor de la Lista Desplegable" sqref="AB2">
      <formula1>_03C18_Consulta_conceptoRecaudo</formula1>
    </dataValidation>
    <dataValidation type="list" allowBlank="1" showInputMessage="1" showErrorMessage="1" error="Tipo de dato ( C ) Caracter _x000a_Seleccióne valor de la Lista Desplegable" sqref="X2">
      <formula1>_03C14_Consulta_tipoDiagnosticoPrincipal</formula1>
    </dataValidation>
    <dataValidation type="list" allowBlank="1" showInputMessage="1" showErrorMessage="1" error="Tipo de dato ( C ) Caracter _x000a_Seleccióne valor de la Lista Desplegable" sqref="K2">
      <formula1>_03C09_Consulta_causaMotivoAtencion</formula1>
    </dataValidation>
    <dataValidation type="list" allowBlank="1" showInputMessage="1" showErrorMessage="1" error="Tipo de dato ( C ) Caracter _x000a_Seleccióne valor de la Lista Desplegable" sqref="J2">
      <formula1>_03C08_Consulta_FinalidadTecnologiaSalud</formula1>
    </dataValidation>
    <dataValidation type="list" allowBlank="1" showInputMessage="1" showErrorMessage="1" error="Tipo de dato ( N ) Numerico _x000a_Seleccióne valor de la Lista Desplegable" sqref="I2">
      <formula1>_03C07_Consulta_codServicio</formula1>
    </dataValidation>
    <dataValidation type="list" allowBlank="1" showInputMessage="1" showErrorMessage="1" error="Tipo de dato ( C ) Caracter _x000a_Seleccióne valor de la Lista Desplegable" sqref="H2">
      <formula1>_03C06_Consulta_grupoServicios</formula1>
    </dataValidation>
    <dataValidation type="list" allowBlank="1" showInputMessage="1" showErrorMessage="1" error="Tipo de dato ( C ) Caracter _x000a_Seleccióne valor de la Lista Desplegable" sqref="G2">
      <formula1>_03C05_Consulta_modalidadGrupoServicioTecSal</formula1>
    </dataValidation>
    <dataValidation type="custom" allowBlank="1" showInputMessage="1" showErrorMessage="1" error="Tipo de dato ( C ) Caracter  _x000a_Largo De 1 Hasta 30 Caracteres_x000a__x000a_No se Admite _x000a_--- Inicie con   0 (Cero) _x000a_--- Null" sqref="E2">
      <formula1>AND(E2&lt;&gt;"null",OR(AND(LEN(E2)&gt;=0,LEN(E2)&lt;=30,LEFT(E2)&lt;&gt;"0",ISERROR(SEARCH(" ",E2,1)))))</formula1>
    </dataValidation>
    <dataValidation type="custom" errorStyle="warning" allowBlank="1" showInputMessage="1" showErrorMessage="1" error="Tipo de dato ( C ) Caracter  _x000a_Verificar Disposicion DIAN para prestadores de Salud_x000a_No se Admite  _x000a_ --- Inicie con 0 (cero)  _x000a_ --- Espacios _x000a_ --- Null " sqref="AD2">
      <formula1>AND(LEN(AD2)&gt;=1,LEN(AD2)&lt;=64,ISERROR(SEARCH(" ",AD2,1)),LEFT(AD2,1)&lt;&gt;"0",UPPER(AD2)&lt;&gt;"NULL")</formula1>
    </dataValidation>
    <dataValidation type="custom" showInputMessage="1" showErrorMessage="1" error="Tipo de dato ( C ) Caracter  _x000a_Largo Fijo de 6 Caracteres _x000a_Ingrese Codigo CUPS Valido_x000a_No se Admite _x000a_--- Inicie con   0 (Cero) _x000a_--- Espacios" sqref="F2">
      <formula1>AND(LEN(F2)=6,LEFT(F2)&lt;&gt;"0",ISERROR(SEARCH(" ",F2,1)))</formula1>
    </dataValidation>
    <dataValidation type="custom" allowBlank="1" showInputMessage="1" showErrorMessage="1" error="Tipo de dato ( C ) Caracter  _x000a_Al digitar dato tener en cuenta _x000a_Largo : 4 Caracteres _x000a_No se Admite  _x000a_ --- Inicie con 0 (cero)  _x000a_ --- Espacios _x000a_ --- Null  " sqref="U2 L2 O2 R2">
      <formula1>AND(LEN(L2)=4,ISERROR(SEARCH(" ",L2,1)),LEFT(L2,1)&lt;&gt;"0",UPPER(L2)&lt;&gt;"NULL")</formula1>
    </dataValidation>
    <dataValidation type="custom" allowBlank="1" showInputMessage="1" showErrorMessage="1" error="Tipo de dato ( C ) Caracter  _x000a_Largo De 4 Hasta 25 Caracteres_x000a_Ingrese Codigo CIE10 Valido_x000a__x000a_No se Admite _x000a_--- Inicie con   0 (Cero) _x000a_--- Null" sqref="P2">
      <formula1>AND(P2&lt;&gt;"null",OR(AND(LEN(P2)&gt;=4,LEN(P2)&lt;=256,LEFT(P2)&lt;&gt;"0",ISERROR(SEARCH(" ",P2,1)))))</formula1>
    </dataValidation>
    <dataValidation type="custom" operator="lessThanOrEqual" allowBlank="1" showInputMessage="1" showErrorMessage="1" error="Tipo de dato ( C ) Caracter  _x000a_Largo Fijo de 16 Caracteres_x000a__x000a_No se admite  _x000a_--- Fecha superior a la actual_x000a_--- Formato Fecha diferente a _x000a_     aaaa-mm-dd hh:mm" sqref="D2">
      <formula1>AND(LEN(D2)=16,D2*1&lt;=NOW(),VALUE(MID(D2,12,2))&lt;24,VALUE(MID(D2,15,2))&lt;60)</formula1>
    </dataValidation>
    <dataValidation type="custom" allowBlank="1" showInputMessage="1" showErrorMessage="1" error="Tipo de dato ( N ) Numerico _x000a_Largo De  1 Hasta 7 Caracteres Numericos" sqref="AF2">
      <formula1>AND(VALUE(AF2)&gt;=0,LEN(AF2)&gt;=1,LEN(AF2)&lt;=7)</formula1>
    </dataValidation>
    <dataValidation type="custom" allowBlank="1" showInputMessage="1" showErrorMessage="1" error="Tipo de dato ( C ) Caracter  _x000a_Al digitar dato tener en cuenta _x000a_Largo : de  4 hasta 256 _x000a_No se Admite  _x000a_ --- Inicie con 0 (cero)  _x000a_ --- Espacios _x000a_ --- Null " sqref="M2">
      <formula1>AND(LEN(M2)&gt;= 4,LEN(M2)&lt;=256,ISERROR(SEARCH(" ",M2,1)),LEFT(M2,1)&lt;&gt;"0",UPPER(M2)&lt;&gt;"NULL")</formula1>
    </dataValidation>
    <dataValidation type="custom" allowBlank="1" showInputMessage="1" showErrorMessage="1" error="Tipo de dato ( C ) Caracter  _x000a_Al digitar dato tener en cuenta _x000a_Largo : de 1 hasta 256 _x000a_No se Admite  _x000a_ --- Inicie con 0 (cero)  _x000a_ --- Espacios _x000a_ --- Null " sqref="V2">
      <formula1>AND(LEN(V2)&gt;= 1,LEN(V2)&lt;=256,ISERROR(SEARCH(" ",V2,1)),LEFT(V2,1)&lt;&gt;"0",UPPER(V2)&lt;&gt;"NULL")</formula1>
    </dataValidation>
    <dataValidation type="custom" allowBlank="1" showInputMessage="1" showErrorMessage="1" error="Tipo de dato ( C ) Caracter  _x000a_Al digitar dato tener en cuenta _x000a_Largo : de  1 hasta 256 _x000a_No se Admite  _x000a_ --- Inicie con 0 (cero)  _x000a_ --- Espacios _x000a_ --- Null " sqref="AE2">
      <formula1>AND(LEN(AE2)&gt;= 1,LEN(AE2)&lt;=256,ISERROR(SEARCH(" ",AE2,1)),LEFT(AE2,1)&lt;&gt;"0",UPPER(AE2)&lt;&gt;"NULL")</formula1>
    </dataValidation>
    <dataValidation type="custom" allowBlank="1" showInputMessage="1" showErrorMessage="1" error="Tipo de dato ( N ) Numero  _x000a_Al digitar dato tener en cuenta  _x000a_Largo : de 1 hasta 15 digitos numericos  _x000a_No se Admite  _x000a_ --- Espacios _x000a_ --- Null  " sqref="AA2">
      <formula1>AND(LEN(AA2)&gt;=1,LEN(AA2)&lt;=15,VALUE(AA2)&gt;=0)</formula1>
    </dataValidation>
    <dataValidation type="custom" allowBlank="1" showInputMessage="1" showErrorMessage="1" error="Tipo de dato ( C ) Caracter  _x000a_Al digitar dato tener en cuenta _x000a_Largo : de  1 hasta 1000 _x000a_No se Admite  _x000a_ --- Inicie con 0 (cero)  _x000a_ --- Espacios _x000a_ --- Null  " sqref="T2 Q2 W2">
      <formula1>AND(LEN(Q2)&gt;= 1,LEN(Q2)&lt;=1000,LEFT(Q2,1)&lt;&gt;"0",UPPER(Q2)&lt;&gt;"NULL")</formula1>
    </dataValidation>
    <dataValidation type="custom" allowBlank="1" showInputMessage="1" showErrorMessage="1" error="Tipo de dato ( C ) Caracter  _x000a_Al digitar dato tener en cuenta _x000a_Largo : de  4 hasta 1000 _x000a_No se Admite  _x000a_ --- Inicie con 0 (cero)  _x000a_ --- Espacios _x000a_ --- Null  " sqref="N2">
      <formula1>AND(LEN(N2)&gt;= 4,LEN(N2)&lt;=1000,LEFT(N2,1)&lt;&gt;"0",UPPER(N2)&lt;&gt;"NULL")</formula1>
    </dataValidation>
    <dataValidation type="custom" allowBlank="1" showInputMessage="1" showErrorMessage="1" error="Tipo de dato ( C ) Caracter  _x000a_Largo De 4 Hasta 25 Caracteres_x000a_Ingrese Codigo CIE10 Valido_x000a__x000a_No se Admite _x000a_--- Inicie con   0 (Cero) _x000a_--- Null" sqref="S2">
      <formula1>AND(S2&lt;&gt;"null",OR(AND(LEN(S2)&gt;=1,LEN(S2)&lt;=256,LEFT(S2)&lt;&gt;"0",ISERROR(SEARCH(" ",S2,1)))))</formula1>
    </dataValidation>
  </dataValidations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0005">
    <tabColor theme="8" tint="-0.499984740745262"/>
  </sheetPr>
  <dimension ref="A1:AD2"/>
  <sheetViews>
    <sheetView zoomScale="80" zoomScaleNormal="80" workbookViewId="0">
      <pane ySplit="1" topLeftCell="A2" activePane="bottomLeft" state="frozen"/>
      <selection activeCell="L11" sqref="L11"/>
      <selection pane="bottomLeft" activeCell="L11" sqref="L11"/>
    </sheetView>
  </sheetViews>
  <sheetFormatPr baseColWidth="10" defaultColWidth="11.5703125" defaultRowHeight="15" x14ac:dyDescent="0.25"/>
  <cols>
    <col min="1" max="2" width="12.7109375" style="6" customWidth="1"/>
    <col min="3" max="3" width="16.42578125" style="6" customWidth="1"/>
    <col min="4" max="4" width="18.140625" customWidth="1"/>
    <col min="5" max="24" width="12.7109375" customWidth="1"/>
    <col min="25" max="25" width="22.5703125" customWidth="1"/>
    <col min="26" max="27" width="12.7109375" customWidth="1"/>
    <col min="30" max="30" width="31.42578125" customWidth="1"/>
  </cols>
  <sheetData>
    <row r="1" spans="1:30" ht="39" customHeight="1" x14ac:dyDescent="0.25">
      <c r="A1" s="38" t="s">
        <v>1572</v>
      </c>
      <c r="B1" s="39" t="s">
        <v>1571</v>
      </c>
      <c r="C1" s="39" t="s">
        <v>27</v>
      </c>
      <c r="D1" s="40" t="s">
        <v>28</v>
      </c>
      <c r="E1" s="33" t="s">
        <v>15</v>
      </c>
      <c r="F1" s="42" t="s">
        <v>16</v>
      </c>
      <c r="G1" s="52" t="s">
        <v>1709</v>
      </c>
      <c r="H1" s="52" t="s">
        <v>1710</v>
      </c>
      <c r="I1" s="42" t="s">
        <v>36</v>
      </c>
      <c r="J1" s="52" t="s">
        <v>1718</v>
      </c>
      <c r="K1" s="52" t="s">
        <v>1719</v>
      </c>
      <c r="L1" s="41" t="s">
        <v>37</v>
      </c>
      <c r="M1" s="52" t="s">
        <v>1720</v>
      </c>
      <c r="N1" s="52" t="s">
        <v>1721</v>
      </c>
      <c r="O1" s="41" t="s">
        <v>38</v>
      </c>
      <c r="P1" s="52" t="s">
        <v>1722</v>
      </c>
      <c r="Q1" s="52" t="s">
        <v>1723</v>
      </c>
      <c r="R1" s="41" t="s">
        <v>39</v>
      </c>
      <c r="S1" s="52" t="s">
        <v>1724</v>
      </c>
      <c r="T1" s="52" t="s">
        <v>1725</v>
      </c>
      <c r="U1" s="33" t="s">
        <v>40</v>
      </c>
      <c r="V1" s="41" t="s">
        <v>41</v>
      </c>
      <c r="W1" s="52" t="s">
        <v>1726</v>
      </c>
      <c r="X1" s="52" t="s">
        <v>1727</v>
      </c>
      <c r="Y1" s="40" t="s">
        <v>42</v>
      </c>
      <c r="Z1" s="52" t="s">
        <v>1717</v>
      </c>
      <c r="AA1" s="43" t="s">
        <v>1552</v>
      </c>
    </row>
    <row r="2" spans="1:30" x14ac:dyDescent="0.25">
      <c r="A2" s="32" t="str">
        <f>IF($B2="","",transaccion!$A$2)</f>
        <v/>
      </c>
      <c r="B2" s="25"/>
      <c r="C2" s="25"/>
      <c r="D2" s="25"/>
      <c r="E2" s="25"/>
      <c r="F2" s="25"/>
      <c r="G2" s="24"/>
      <c r="H2" s="24"/>
      <c r="I2" s="25"/>
      <c r="J2" s="24"/>
      <c r="K2" s="24"/>
      <c r="L2" s="25"/>
      <c r="M2" s="24"/>
      <c r="N2" s="24"/>
      <c r="O2" s="25"/>
      <c r="P2" s="24"/>
      <c r="Q2" s="24"/>
      <c r="R2" s="25"/>
      <c r="S2" s="24"/>
      <c r="T2" s="24"/>
      <c r="U2" s="25"/>
      <c r="V2" s="25"/>
      <c r="W2" s="24"/>
      <c r="X2" s="24"/>
      <c r="Y2" s="25"/>
      <c r="Z2" s="24"/>
      <c r="AA2" s="26"/>
      <c r="AD2" s="6"/>
    </row>
  </sheetData>
  <phoneticPr fontId="9" type="noConversion"/>
  <conditionalFormatting sqref="B2:AA2">
    <cfRule type="expression" dxfId="175" priority="7">
      <formula>IF(B2="",1,0)</formula>
    </cfRule>
  </conditionalFormatting>
  <dataValidations count="12">
    <dataValidation type="list" allowBlank="1" showInputMessage="1" showErrorMessage="1" error="Tipo de dato ( C ) Caracter  _x000a_Seleccióne valor de la Lista Desplegable" sqref="E2">
      <formula1>_05R03_Urgencias_causaMotivoAtencion</formula1>
    </dataValidation>
    <dataValidation type="list" allowBlank="1" showInputMessage="1" showErrorMessage="1" error="Tipo de dato ( C ) Caracter  _x000a_Seleccióne valor de la Lista Desplegable" sqref="U2">
      <formula1>_05R09_Urgencias_condicionDestinoUsuarioEgreso</formula1>
    </dataValidation>
    <dataValidation type="custom" allowBlank="1" showInputMessage="1" showErrorMessage="1" error="Tipo de dato ( N ) Numerico _x000a_Largo De  1 Hasta 7 Caracteres Numericos" sqref="AA2">
      <formula1>AND(VALUE(AA2)&gt;=0,LEN(AA2)&gt;=1,LEN(AA2)&lt;=7)</formula1>
    </dataValidation>
    <dataValidation type="list" allowBlank="1" showInputMessage="1" showErrorMessage="1" error="Seleccióne valor de la Lista Desplegable" sqref="B2">
      <formula1>_02U_Doc_Ident</formula1>
    </dataValidation>
    <dataValidation allowBlank="1" showInputMessage="1" showErrorMessage="1" error=" " sqref="A2"/>
    <dataValidation type="custom" allowBlank="1" showInputMessage="1" showErrorMessage="1" error="Tipo de dato ( C ) Caracter  _x000a_Largo De 12 Caracteres_x000a__x000a_No se Admite _x000a_--- Espacios" sqref="C2">
      <formula1>AND(VALUE(C2)*1&gt;=1,LEN(C2)=12,ISERROR(SEARCH(" ",C2,1)))</formula1>
    </dataValidation>
    <dataValidation type="custom" operator="lessThanOrEqual" allowBlank="1" showInputMessage="1" showErrorMessage="1" error="Tipo de dato ( C ) Caracter  _x000a_Largo Fijo de 16 Caracteres_x000a__x000a_No se admite  _x000a_--- Fecha superior a la actual_x000a_--- Formato Fecha diferente a _x000a_     aaaa-mm-dd hh:mm" sqref="D2">
      <formula1>AND(LEN(D2)=16,D2*1&lt;=NOW(),VALUE(MID(D2,12,2))&lt;24,VALUE(MID(D2,15,2))&lt;60)</formula1>
    </dataValidation>
    <dataValidation type="custom" allowBlank="1" showInputMessage="1" showErrorMessage="1" error="Tipo de dato ( C ) Caracter  _x000a_Al digitar dato tener en cuenta _x000a_Largo : 4 Caracteres _x000a_No se Admite  _x000a_ --- Inicie con 0 (cero)  _x000a_ --- Espacios _x000a_ --- Null  " sqref="I2 L2 O2 R2 V2 F2">
      <formula1>AND(LEN(F2)=4,ISERROR(SEARCH(" ",F2,1)),LEFT(F2,1)&lt;&gt;"0",UPPER(F2)&lt;&gt;"NULL")</formula1>
    </dataValidation>
    <dataValidation type="custom" allowBlank="1" showInputMessage="1" showErrorMessage="1" error="Tipo de dato ( C ) Caracter  _x000a_Al digitar dato tener en cuenta _x000a_Largo : de  4 hasta 256 _x000a_No se Admite  _x000a_ --- Inicie con 0 (cero)  _x000a_ --- Espacios _x000a_ --- Null " sqref="J2 G2 M2 P2 S2 W2">
      <formula1>AND(LEN(G2)&gt;= 4,LEN(G2)&lt;=256,ISERROR(SEARCH(" ",G2,1)),LEFT(G2,1)&lt;&gt;"0",UPPER(G2)&lt;&gt;"NULL")</formula1>
    </dataValidation>
    <dataValidation type="custom" allowBlank="1" showInputMessage="1" showErrorMessage="1" error="Tipo de dato ( C ) Caracter  _x000a_Al digitar dato tener en cuenta _x000a_Largo : de  1 hasta 256 _x000a_No se Admite  _x000a_ --- Inicie con 0 (cero)  _x000a_ --- Espacios _x000a_ --- Null  " sqref="Z2">
      <formula1>AND(LEN(Z2)&gt;= 1,LEN(Z2)&lt;=256,ISERROR(SEARCH(" ",Z2,1)),LEFT(Z2,1)&lt;&gt;"0",UPPER(Z2)&lt;&gt;"NULL")</formula1>
    </dataValidation>
    <dataValidation type="custom" allowBlank="1" showInputMessage="1" showErrorMessage="1" error="Tipo de dato ( C ) Caracter  _x000a_Al digitar dato tener en cuenta _x000a_Largo : de  1 hasta 1000 _x000a_No se Admite  _x000a_ --- Inicie con 0 (cero)  _x000a_ --- Espacios _x000a_ --- Null  " sqref="T2 Q2 N2 K2 H2 X2">
      <formula1>AND(LEN(H2)&gt;= 1,LEN(H2)&lt;=1000,LEFT(H2,1)&lt;&gt;"0",UPPER(H2)&lt;&gt;"NULL")</formula1>
    </dataValidation>
    <dataValidation type="custom" operator="lessThanOrEqual" allowBlank="1" showInputMessage="1" showErrorMessage="1" error="Tipo de dato ( C ) Caracter  _x000a_Largo Fijo de 16 Caracteres_x000a__x000a_No se admite  _x000a_--- Fecha superior a la actual_x000a_--- Fecha Egreso Inferior a Fecha Inicio_x000a_--- Formato Fecha diferente a _x000a_     aaaa-mm-dd hh:mm" sqref="Y2">
      <formula1>AND(LEN(Y2)=16,D2*1&lt;Y2*1,Y2*1&lt;=NOW(),VALUE(MID(Y2,12,2))&lt;24,VALUE(MID(Y2,15,2))&lt;60)</formula1>
    </dataValidation>
  </dataValidations>
  <pageMargins left="0.7" right="0.7" top="0.75" bottom="0.75" header="0.3" footer="0.3"/>
  <pageSetup paperSize="9" orientation="portrait" horizontalDpi="360" verticalDpi="360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0004">
    <tabColor theme="9" tint="-0.499984740745262"/>
  </sheetPr>
  <dimension ref="A1:AC2"/>
  <sheetViews>
    <sheetView zoomScale="80" zoomScaleNormal="80" workbookViewId="0">
      <pane ySplit="1" topLeftCell="A2" activePane="bottomLeft" state="frozen"/>
      <selection activeCell="L11" sqref="L11"/>
      <selection pane="bottomLeft" activeCell="L11" sqref="L11"/>
    </sheetView>
  </sheetViews>
  <sheetFormatPr baseColWidth="10" defaultColWidth="11.5703125" defaultRowHeight="15" x14ac:dyDescent="0.25"/>
  <cols>
    <col min="1" max="2" width="12.7109375" customWidth="1"/>
    <col min="3" max="3" width="15.42578125" customWidth="1"/>
    <col min="4" max="4" width="19" customWidth="1"/>
    <col min="5" max="13" width="12.7109375" customWidth="1"/>
    <col min="14" max="14" width="17.42578125" customWidth="1"/>
    <col min="15" max="29" width="12.7109375" customWidth="1"/>
  </cols>
  <sheetData>
    <row r="1" spans="1:29" ht="39" customHeight="1" x14ac:dyDescent="0.25">
      <c r="A1" s="34" t="s">
        <v>1572</v>
      </c>
      <c r="B1" s="44" t="s">
        <v>1571</v>
      </c>
      <c r="C1" s="44" t="s">
        <v>27</v>
      </c>
      <c r="D1" s="45" t="s">
        <v>28</v>
      </c>
      <c r="E1" s="46" t="s">
        <v>29</v>
      </c>
      <c r="F1" s="46" t="s">
        <v>43</v>
      </c>
      <c r="G1" s="44" t="s">
        <v>30</v>
      </c>
      <c r="H1" s="35" t="s">
        <v>31</v>
      </c>
      <c r="I1" s="35" t="s">
        <v>32</v>
      </c>
      <c r="J1" s="35" t="s">
        <v>12</v>
      </c>
      <c r="K1" s="48" t="s">
        <v>13</v>
      </c>
      <c r="L1" s="35" t="s">
        <v>33</v>
      </c>
      <c r="M1" s="35" t="s">
        <v>21</v>
      </c>
      <c r="N1" s="35" t="s">
        <v>22</v>
      </c>
      <c r="O1" s="47" t="s">
        <v>16</v>
      </c>
      <c r="P1" s="51" t="s">
        <v>1709</v>
      </c>
      <c r="Q1" s="51" t="s">
        <v>1710</v>
      </c>
      <c r="R1" s="46" t="s">
        <v>34</v>
      </c>
      <c r="S1" s="51" t="s">
        <v>1728</v>
      </c>
      <c r="T1" s="51" t="s">
        <v>1729</v>
      </c>
      <c r="U1" s="46" t="s">
        <v>35</v>
      </c>
      <c r="V1" s="51" t="s">
        <v>1730</v>
      </c>
      <c r="W1" s="51" t="s">
        <v>1821</v>
      </c>
      <c r="X1" s="48" t="s">
        <v>23</v>
      </c>
      <c r="Y1" s="35" t="s">
        <v>24</v>
      </c>
      <c r="Z1" s="48" t="s">
        <v>25</v>
      </c>
      <c r="AA1" s="46" t="s">
        <v>26</v>
      </c>
      <c r="AB1" s="51" t="s">
        <v>1717</v>
      </c>
      <c r="AC1" s="48" t="s">
        <v>1552</v>
      </c>
    </row>
    <row r="2" spans="1:29" x14ac:dyDescent="0.25">
      <c r="A2" s="32" t="str">
        <f>IF($B2="","",transaccion!$A$2)</f>
        <v/>
      </c>
      <c r="B2" s="25"/>
      <c r="C2" s="25"/>
      <c r="D2" s="25"/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9"/>
      <c r="Q2" s="24"/>
      <c r="R2" s="25"/>
      <c r="S2" s="29"/>
      <c r="T2" s="24"/>
      <c r="U2" s="25"/>
      <c r="V2" s="29"/>
      <c r="W2" s="24"/>
      <c r="X2" s="26"/>
      <c r="Y2" s="25"/>
      <c r="Z2" s="26"/>
      <c r="AA2" s="25"/>
      <c r="AB2" s="29"/>
      <c r="AC2" s="26"/>
    </row>
  </sheetData>
  <dataConsolidate/>
  <phoneticPr fontId="9" type="noConversion"/>
  <conditionalFormatting sqref="B2:AC2">
    <cfRule type="expression" dxfId="145" priority="8">
      <formula>IF(B2="",1,0)</formula>
    </cfRule>
  </conditionalFormatting>
  <dataValidations count="23">
    <dataValidation type="custom" showInputMessage="1" showErrorMessage="1" error="Tipo de dato ( C ) Caracter  _x000a_Largo Fijo de 6 Caracteres _x000a__x000a_No se Admite _x000a_--- Inicie con   0 (Cero) _x000a_--- Espacios" sqref="G2">
      <formula1>AND(LEN(G2)=6,ISERROR(SEARCH(" ",G2,1)))</formula1>
    </dataValidation>
    <dataValidation type="list" allowBlank="1" showInputMessage="1" showErrorMessage="1" error="Tipo de dato ( N ) Numerico _x000a_Seleccióne valor de la Lista Desplegable" sqref="K2">
      <formula1>_04P09_Procedimientos_codservicio</formula1>
    </dataValidation>
    <dataValidation type="list" allowBlank="1" showInputMessage="1" showErrorMessage="1" error="Tipo de dato ( C ) Caracter  _x000a_Seleccióne valor de la Lista Desplegable" sqref="H2">
      <formula1>_04P06_Procedimientos_viaIngresoServicioSalud</formula1>
    </dataValidation>
    <dataValidation type="list" allowBlank="1" showInputMessage="1" showErrorMessage="1" error="Tipo de dato ( C ) Caracter  _x000a_Seleccióne valor de la Lista Desplegable" sqref="I2">
      <formula1>_04P07_Procedimientos_modalidadGrupoServicioTecSal</formula1>
    </dataValidation>
    <dataValidation type="list" allowBlank="1" showInputMessage="1" showErrorMessage="1" error="Tipo de dato ( C ) Caracter  _x000a_Seleccióne valor de la Lista Desplegable" sqref="J2">
      <formula1>_04P08_Procedimientos_grupoServicios</formula1>
    </dataValidation>
    <dataValidation type="list" allowBlank="1" showInputMessage="1" showErrorMessage="1" error="Tipo de dato ( C ) Caracter  _x000a_Seleccióne valor de la Lista Desplegable" sqref="L2">
      <formula1>_04P10_Procedimientos_finalidadTecnologiaSalud</formula1>
    </dataValidation>
    <dataValidation type="list" allowBlank="1" showInputMessage="1" showErrorMessage="1" error="Tipo de dato ( C ) Caracter  _x000a_Seleccióne valor de la Lista Desplegable" sqref="Y2">
      <formula1>_04P17_Procedimientos_conceptoRecaudo</formula1>
    </dataValidation>
    <dataValidation type="list" allowBlank="1" showInputMessage="1" showErrorMessage="1" error="Tipo de dato ( C ) Caracter _x000a_Seleccióne valor de la Lista Desplegable" sqref="M2">
      <formula1>_04P11_Procedimientos_tipoDocumentoIdentificacion</formula1>
    </dataValidation>
    <dataValidation type="list" allowBlank="1" showInputMessage="1" showErrorMessage="1" error="Seleccióne valor de la Lista Desplegable" sqref="B2">
      <formula1>_02U_Doc_Ident</formula1>
    </dataValidation>
    <dataValidation allowBlank="1" showInputMessage="1" showErrorMessage="1" error=" " sqref="A2"/>
    <dataValidation type="custom" allowBlank="1" showInputMessage="1" showErrorMessage="1" error="Tipo de dato ( C ) Caracter  _x000a_Largo De 12 Caracteres_x000a__x000a_No se Admite _x000a_--- Espacios" sqref="C2">
      <formula1>AND(VALUE(C2)*1&gt;=1,LEN(C2)=12,ISERROR(SEARCH(" ",C2,1)))</formula1>
    </dataValidation>
    <dataValidation type="custom" allowBlank="1" showInputMessage="1" showErrorMessage="1" error="Tipo de dato ( N ) Numerico _x000a_Largo De  1 Hasta 10 Caracteres Numericos" sqref="Z2">
      <formula1>AND(VALUE(Z2)&gt;=0,LEN(Z2)&gt;=1,LEN(Z2)&lt;=10)</formula1>
    </dataValidation>
    <dataValidation type="custom" allowBlank="1" showInputMessage="1" showErrorMessage="1" error="Tipo de dato ( C ) Caracter  _x000a_Largo De 4 Hasta 20 Caracteres_x000a__x000a_No se Admite _x000a_--- Inicie con   0 (Cero) _x000a_--- Espacios" sqref="N2">
      <formula1>AND(N2&lt;&gt;"Null",LEN(N2)&gt;=4,LEN(N2)&lt;=20,LEFT(N2)&lt;&gt;"0",ISERROR(SEARCH(" ",N2,1)))</formula1>
    </dataValidation>
    <dataValidation type="custom" operator="lessThanOrEqual" allowBlank="1" showInputMessage="1" showErrorMessage="1" error="Tipo de dato ( C ) Caracter  _x000a_Largo Fijo de 16 Caracteres_x000a__x000a_No se admite  _x000a_--- Fecha superior a la actual_x000a_--- Formato Fecha diferente a _x000a_     aaaa-mm-dd hh:mm" sqref="D2">
      <formula1>AND(LEN(D2)=16,D2*1&lt;=NOW(),VALUE(MID(D2,12,2))&lt;24,VALUE(MID(D2,15,2))&lt;60)</formula1>
    </dataValidation>
    <dataValidation type="custom" allowBlank="1" showInputMessage="1" showErrorMessage="1" error="Tipo de dato ( C ) Caracter _x000a_Al digitar dato tener en cuenta _x000a_Largo : de  1 hasta 19 _x000a_No se Admite _x000a_ --- Inicie con 0 (cero) _x000a_ --- Espacios _x000a_ --- Null " sqref="E2">
      <formula1>AND(LEN(E2)&gt;= 1,LEN(E2)&lt;=19,ISERROR(SEARCH(" ",E2,1)),LEFT(E2,1)&lt;&gt;"0",UPPER(E2)&lt;&gt;"NULL")</formula1>
    </dataValidation>
    <dataValidation type="custom" allowBlank="1" showInputMessage="1" showErrorMessage="1" error="Tipo de dato ( C ) Caracter  _x000a_Al digitar dato tener en cuenta _x000a_Largo : 4 Caracteres _x000a_No se Admite  _x000a_ --- Inicie con 0 (cero)  _x000a_ --- Espacios _x000a_ --- Null  " sqref="U2 O2 R2">
      <formula1>AND(LEN(O2)=4,ISERROR(SEARCH(" ",O2,1)),LEFT(O2,1)&lt;&gt;"0",UPPER(O2)&lt;&gt;"NULL")</formula1>
    </dataValidation>
    <dataValidation type="custom" allowBlank="1" showInputMessage="1" showErrorMessage="1" error="Tipo de dato ( C ) Caracter  _x000a_Largo De 1 Hasta 30 Caracteres_x000a__x000a_No se Admite _x000a_--- Inicie con   0 (Cero) _x000a_--- Null" sqref="F2">
      <formula1>AND(F2&lt;&gt;"null",OR(AND(LEN(F2)&gt;=0,LEN(F2)&lt;=30,LEFT(F2)&lt;&gt;"0",ISERROR(SEARCH(" ",F2,1)))))</formula1>
    </dataValidation>
    <dataValidation type="custom" allowBlank="1" showInputMessage="1" showErrorMessage="1" error="Tipo de dato ( N ) Numerico _x000a_Largo De  1 Hasta 7 Caracteres Numericos" sqref="AC2">
      <formula1>AND(VALUE(AC2)&gt;=0,LEN(AC2)&gt;=1,LEN(AC2)&lt;=7)</formula1>
    </dataValidation>
    <dataValidation type="custom" allowBlank="1" showInputMessage="1" showErrorMessage="1" error="Tipo de dato ( C ) Caracter  _x000a_Al digitar dato tener en cuenta _x000a_Largo : de  4 hasta 256 _x000a_No se Admite  _x000a_ --- Inicie con 0 (cero)  _x000a_ --- Espacios _x000a_ --- Null " sqref="S2 P2">
      <formula1>AND(LEN(P2)&gt;= 4,LEN(P2)&lt;=256,ISERROR(SEARCH(" ",P2,1)),LEFT(P2,1)&lt;&gt;"0",UPPER(P2)&lt;&gt;"NULL")</formula1>
    </dataValidation>
    <dataValidation type="custom" allowBlank="1" showInputMessage="1" showErrorMessage="1" error="Tipo de dato ( C ) Caracter  _x000a_Al digitar dato tener en cuenta _x000a_Largo : de  1 hasta 256 _x000a_No se Admite  _x000a_ --- Inicie con 0 (cero)  _x000a_ --- Espacios _x000a_ --- Null " sqref="AB2 V2">
      <formula1>AND(LEN(V2)&gt;= 1,LEN(V2)&lt;=256,ISERROR(SEARCH(" ",V2,1)),LEFT(V2,1)&lt;&gt;"0",UPPER(V2)&lt;&gt;"NULL")</formula1>
    </dataValidation>
    <dataValidation type="custom" errorStyle="warning" allowBlank="1" showInputMessage="1" showErrorMessage="1" error="Tipo de dato ( C ) Caracter  _x000a_Verificar Disposicion DIAN para prestadores de Salud_x000a_No se Admite  _x000a_ --- Inicie con 0 (cero)  _x000a_ --- Espacios _x000a_ --- Null  " sqref="AA2">
      <formula1>AND(LEN(AA2)&gt;=1,LEN(AA2)&lt;=64,ISERROR(SEARCH(" ",AA2,1)),LEFT(AA2,1)&lt;&gt;"0",UPPER(AA2)&lt;&gt;"NULL")</formula1>
    </dataValidation>
    <dataValidation type="custom" allowBlank="1" showInputMessage="1" showErrorMessage="1" error="Tipo de dato ( N ) Numero  _x000a_Al digitar dato tener en cuenta _x000a_Largo : de 1 hasta 15 digitos numericos _x000a_No se Admite  _x000a_ --- Espacios _x000a_ --- Null  " sqref="X2">
      <formula1>AND(LEN(X2)&gt;=1,LEN(X2)&lt;=15,VALUE(X2)&gt;=0)</formula1>
    </dataValidation>
    <dataValidation type="custom" allowBlank="1" showInputMessage="1" showErrorMessage="1" error="Tipo de dato ( C ) Caracter  _x000a_Al digitar dato tener en cuenta _x000a_Largo : de  1 hasta 1000 _x000a_No se Admite  _x000a_ --- Inicie con 0 (cero)  _x000a_ --- Espacios _x000a_ --- Null  " sqref="T2 Q2 W2">
      <formula1>AND(LEN(Q2)&gt;= 1,LEN(Q2)&lt;=1000,LEFT(Q2,1)&lt;&gt;"0",UPPER(Q2)&lt;&gt;"NULL")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0006">
    <tabColor theme="9" tint="-0.499984740745262"/>
  </sheetPr>
  <dimension ref="A1:AF2"/>
  <sheetViews>
    <sheetView zoomScale="80" zoomScaleNormal="80" workbookViewId="0">
      <pane ySplit="1" topLeftCell="A2" activePane="bottomLeft" state="frozen"/>
      <selection activeCell="L11" sqref="L11"/>
      <selection pane="bottomLeft" activeCell="L11" sqref="L11"/>
    </sheetView>
  </sheetViews>
  <sheetFormatPr baseColWidth="10" defaultColWidth="11.5703125" defaultRowHeight="15" x14ac:dyDescent="0.25"/>
  <cols>
    <col min="1" max="1" width="12.7109375" customWidth="1"/>
    <col min="2" max="2" width="16.28515625" customWidth="1"/>
    <col min="3" max="3" width="19.140625" customWidth="1"/>
    <col min="4" max="4" width="12.7109375" customWidth="1"/>
    <col min="5" max="5" width="21" customWidth="1"/>
    <col min="6" max="29" width="12.7109375" customWidth="1"/>
    <col min="30" max="30" width="18.140625" customWidth="1"/>
    <col min="31" max="32" width="12.7109375" customWidth="1"/>
  </cols>
  <sheetData>
    <row r="1" spans="1:32" ht="39" customHeight="1" x14ac:dyDescent="0.25">
      <c r="A1" s="34" t="s">
        <v>1572</v>
      </c>
      <c r="B1" s="44" t="s">
        <v>1571</v>
      </c>
      <c r="C1" s="44" t="s">
        <v>27</v>
      </c>
      <c r="D1" s="44" t="s">
        <v>31</v>
      </c>
      <c r="E1" s="45" t="s">
        <v>28</v>
      </c>
      <c r="F1" s="46" t="s">
        <v>43</v>
      </c>
      <c r="G1" s="35" t="s">
        <v>15</v>
      </c>
      <c r="H1" s="47" t="s">
        <v>16</v>
      </c>
      <c r="I1" s="51" t="s">
        <v>1709</v>
      </c>
      <c r="J1" s="51" t="s">
        <v>1710</v>
      </c>
      <c r="K1" s="47" t="s">
        <v>36</v>
      </c>
      <c r="L1" s="51" t="s">
        <v>1718</v>
      </c>
      <c r="M1" s="51" t="s">
        <v>1719</v>
      </c>
      <c r="N1" s="46" t="s">
        <v>37</v>
      </c>
      <c r="O1" s="51" t="s">
        <v>1720</v>
      </c>
      <c r="P1" s="51" t="s">
        <v>1721</v>
      </c>
      <c r="Q1" s="46" t="s">
        <v>38</v>
      </c>
      <c r="R1" s="51" t="s">
        <v>1722</v>
      </c>
      <c r="S1" s="51" t="s">
        <v>1723</v>
      </c>
      <c r="T1" s="46" t="s">
        <v>39</v>
      </c>
      <c r="U1" s="51" t="s">
        <v>1724</v>
      </c>
      <c r="V1" s="51" t="s">
        <v>1725</v>
      </c>
      <c r="W1" s="46" t="s">
        <v>35</v>
      </c>
      <c r="X1" s="51" t="s">
        <v>1730</v>
      </c>
      <c r="Y1" s="51" t="s">
        <v>1821</v>
      </c>
      <c r="Z1" s="35" t="s">
        <v>40</v>
      </c>
      <c r="AA1" s="46" t="s">
        <v>41</v>
      </c>
      <c r="AB1" s="51" t="s">
        <v>1726</v>
      </c>
      <c r="AC1" s="51" t="s">
        <v>1727</v>
      </c>
      <c r="AD1" s="45" t="s">
        <v>42</v>
      </c>
      <c r="AE1" s="51" t="s">
        <v>1717</v>
      </c>
      <c r="AF1" s="48" t="s">
        <v>1552</v>
      </c>
    </row>
    <row r="2" spans="1:32" x14ac:dyDescent="0.25">
      <c r="A2" s="32" t="str">
        <f>IF($B2="","",transaccion!$A$2)</f>
        <v/>
      </c>
      <c r="B2" s="25"/>
      <c r="C2" s="25"/>
      <c r="D2" s="25"/>
      <c r="E2" s="25"/>
      <c r="F2" s="25"/>
      <c r="G2" s="25"/>
      <c r="H2" s="25"/>
      <c r="I2" s="24"/>
      <c r="J2" s="24"/>
      <c r="K2" s="25"/>
      <c r="L2" s="24"/>
      <c r="M2" s="24"/>
      <c r="N2" s="25"/>
      <c r="O2" s="24"/>
      <c r="P2" s="24"/>
      <c r="Q2" s="25"/>
      <c r="R2" s="24"/>
      <c r="S2" s="24"/>
      <c r="T2" s="25"/>
      <c r="U2" s="24"/>
      <c r="V2" s="24"/>
      <c r="W2" s="25"/>
      <c r="X2" s="24"/>
      <c r="Y2" s="24"/>
      <c r="Z2" s="25"/>
      <c r="AA2" s="25"/>
      <c r="AB2" s="24"/>
      <c r="AC2" s="24"/>
      <c r="AD2" s="25"/>
      <c r="AE2" s="24"/>
      <c r="AF2" s="15"/>
    </row>
  </sheetData>
  <phoneticPr fontId="9" type="noConversion"/>
  <conditionalFormatting sqref="B2:AF2">
    <cfRule type="expression" dxfId="113" priority="10">
      <formula>IF(B2="",1,0)</formula>
    </cfRule>
  </conditionalFormatting>
  <dataValidations count="15">
    <dataValidation type="list" allowBlank="1" showInputMessage="1" showErrorMessage="1" error="Tipo de dato ( C ) Caracter  _x000a_Seleccióne valor de la Lista Desplegable" sqref="G2">
      <formula1>_06H05_Hospitalizacion_causaMotivoAtencion</formula1>
    </dataValidation>
    <dataValidation type="list" allowBlank="1" showInputMessage="1" showErrorMessage="1" error="Tipo de dato ( C ) Caracter  _x000a_Seleccióne valor de la Lista Desplegable" sqref="Z2">
      <formula1>_06H12_Hospitalizacion_condicionDestinoUsuarioEgreso</formula1>
    </dataValidation>
    <dataValidation type="list" operator="lessThanOrEqual" allowBlank="1" showInputMessage="1" showErrorMessage="1" error="Tipo de dato ( C ) Caracter  _x000a_Seleccióne valor de la Lista Desplegable" sqref="D2">
      <formula1>_06H02_Hospitalizacion_viaIngresoServicioSalud</formula1>
    </dataValidation>
    <dataValidation type="list" allowBlank="1" showInputMessage="1" showErrorMessage="1" error="Seleccióne valor de la Lista Desplegable" sqref="B2">
      <formula1>_02U_Doc_Ident</formula1>
    </dataValidation>
    <dataValidation allowBlank="1" showInputMessage="1" showErrorMessage="1" error=" " sqref="A2"/>
    <dataValidation type="custom" allowBlank="1" showInputMessage="1" showErrorMessage="1" error="Tipo de dato ( C ) Caracter  _x000a_Largo De 1 Hasta 30 Caracteres_x000a__x000a_No se Admite _x000a_--- Inicie con   0 (Cero) _x000a_--- Espacios" sqref="F2">
      <formula1>AND(F2&lt;&gt;"null",OR(AND(LEN(F2)&gt;=0,LEN(F2)&lt;=30,LEFT(F2)&lt;&gt;"0",ISERROR(SEARCH(" ",F2,1)))))</formula1>
    </dataValidation>
    <dataValidation type="custom" allowBlank="1" showInputMessage="1" showErrorMessage="1" error="Tipo de dato ( C ) Caracter  _x000a_Largo De 12 Caracteres_x000a__x000a_No se Admite _x000a_--- Espacios" sqref="C2">
      <formula1>AND(VALUE(C2)*1&gt;=1,LEN(C2)=12,ISERROR(SEARCH(" ",C2,1)))</formula1>
    </dataValidation>
    <dataValidation type="custom" allowBlank="1" showInputMessage="1" showErrorMessage="1" error="Tipo de dato ( C ) Caracter  _x000a_Al digitar dato tener en cuenta _x000a_Largo : 4 Caracteres _x000a_No se Admite  _x000a_ --- Inicie con 0 (cero)  _x000a_ --- Espacios _x000a_ --- Null  " sqref="AA2 W2 N2 Q2 T2">
      <formula1>AND(LEN(N2)=4,ISERROR(SEARCH(" ",N2,1)),LEFT(N2,1)&lt;&gt;"0",UPPER(N2)&lt;&gt;"NULL")</formula1>
    </dataValidation>
    <dataValidation type="custom" operator="lessThanOrEqual" allowBlank="1" showInputMessage="1" showErrorMessage="1" error="Tipo de dato ( C ) Caracter  _x000a_Largo Fijo de 16 Caracteres_x000a__x000a_No se admite  _x000a_--- Fecha superior a la actual_x000a_--- Formato Fecha diferente a _x000a_     aaaa-mm-dd hh:mm" sqref="E2">
      <formula1>AND(LEN(E2)=16,E2*1&lt;=NOW(),VALUE(MID(E2,12,2))&lt;24,VALUE(MID(E2,15,2))&lt;60)</formula1>
    </dataValidation>
    <dataValidation type="custom" allowBlank="1" showInputMessage="1" showErrorMessage="1" error="Tipo de dato ( N ) Numerico _x000a_Largo De  1 Hasta 7 Caracteres Numericos" sqref="AF2">
      <formula1>AND(VALUE(AF2)&gt;=0,LEN(AF2)&gt;=1,LEN(AF2)&lt;=7)</formula1>
    </dataValidation>
    <dataValidation type="custom" allowBlank="1" showInputMessage="1" showErrorMessage="1" error="Tipo de dato ( C ) Caracter  _x000a_Al digitar dato tener en cuenta _x000a_Largo : de  4 hasta 256 _x000a_No se Admite  _x000a_ --- Inicie con 0 (cero)  _x000a_ --- Espacios _x000a_ --- Null  " sqref="AB2 L2 O2 R2 U2 X2 I2">
      <formula1>AND(LEN(I2)&gt;= 4,LEN(I2)&lt;=256,ISERROR(SEARCH(" ",I2,1)),LEFT(I2,1)&lt;&gt;"0",UPPER(I2)&lt;&gt;"NULL")</formula1>
    </dataValidation>
    <dataValidation type="custom" allowBlank="1" showInputMessage="1" showErrorMessage="1" error="Tipo de dato ( C ) Caracter  _x000a_Al digitar dato tener en cuenta _x000a_Largo : de  1 hasta 256 _x000a_No se Admite  _x000a_ --- Inicie con 0 (cero)  _x000a_ --- Espacios _x000a_ --- Null " sqref="AE2">
      <formula1>AND(LEN(AE2)&gt;= 1,LEN(AE2)&lt;=256,ISERROR(SEARCH(" ",AE2,1)),LEFT(AE2,1)&lt;&gt;"0",UPPER(AE2)&lt;&gt;"NULL")</formula1>
    </dataValidation>
    <dataValidation type="custom" allowBlank="1" showInputMessage="1" showErrorMessage="1" error="Tipo de dato ( C ) Caracter  _x000a_Al digitar dato tener en cuenta _x000a_Largo : 4 Caracteres _x000a_No se Admite  _x000a_ --- Inicie con 0 (cero)  _x000a_ --- Espacios _x000a_ --- Null " sqref="H2 K2">
      <formula1>AND(LEN(H2)=4,ISERROR(SEARCH(" ",H2,1)),LEFT(H2,1)&lt;&gt;"0",UPPER(H2)&lt;&gt;"NULL")</formula1>
    </dataValidation>
    <dataValidation type="custom" allowBlank="1" showInputMessage="1" showErrorMessage="1" error="Tipo de dato ( C ) Caracter  _x000a_Al digitar dato tener en cuenta _x000a_Largo : de  1 hasta 1000 _x000a_No se Admite  _x000a_ --- Inicie con 0 (cero)  _x000a_ --- Espacios _x000a_ --- Null  " sqref="V2 S2 P2 M2 Y2 J2 AC2">
      <formula1>AND(LEN(J2)&gt;= 1,LEN(J2)&lt;=1000,LEFT(J2,1)&lt;&gt;"0",UPPER(J2)&lt;&gt;"NULL")</formula1>
    </dataValidation>
    <dataValidation type="custom" operator="lessThanOrEqual" allowBlank="1" showInputMessage="1" showErrorMessage="1" error="Tipo de dato ( C ) Caracter  _x000a_Largo Fijo de 16 Caracteres_x000a__x000a_No se admite  _x000a_--- Fecha superior a la actual_x000a_--- Fecha Egreso Inferior a Fecha Inicio_x000a_--- Formato Fecha diferente a _x000a_     aaaa-mm-dd hh:mm" sqref="AD2">
      <formula1>AND(LEN(AD2)=16,E2*1&lt;AD2*1,AD2*1&lt;=NOW(),VALUE(MID(AD2,12,2))&lt;24,VALUE(MID(AD2,15,2))&lt;60)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0007">
    <tabColor theme="8" tint="-0.499984740745262"/>
  </sheetPr>
  <dimension ref="A1:T2"/>
  <sheetViews>
    <sheetView zoomScale="80" zoomScaleNormal="80" workbookViewId="0">
      <pane ySplit="1" topLeftCell="A2" activePane="bottomLeft" state="frozen"/>
      <selection activeCell="L11" sqref="L11"/>
      <selection pane="bottomLeft" activeCell="L11" sqref="L11"/>
    </sheetView>
  </sheetViews>
  <sheetFormatPr baseColWidth="10" defaultColWidth="11.5703125" defaultRowHeight="15" x14ac:dyDescent="0.25"/>
  <cols>
    <col min="1" max="1" width="12.7109375" style="6" customWidth="1"/>
    <col min="2" max="2" width="26.85546875" style="6" customWidth="1"/>
    <col min="3" max="3" width="21.7109375" customWidth="1"/>
    <col min="4" max="4" width="12.7109375" customWidth="1"/>
    <col min="5" max="5" width="21.7109375" customWidth="1"/>
    <col min="6" max="6" width="19.28515625" customWidth="1"/>
    <col min="7" max="17" width="12.7109375" customWidth="1"/>
    <col min="18" max="18" width="22.42578125" customWidth="1"/>
    <col min="19" max="20" width="12.7109375" customWidth="1"/>
  </cols>
  <sheetData>
    <row r="1" spans="1:20" ht="39" customHeight="1" x14ac:dyDescent="0.25">
      <c r="A1" s="38" t="s">
        <v>1572</v>
      </c>
      <c r="B1" s="39" t="s">
        <v>1571</v>
      </c>
      <c r="C1" s="39" t="s">
        <v>27</v>
      </c>
      <c r="D1" s="33" t="s">
        <v>21</v>
      </c>
      <c r="E1" s="33" t="s">
        <v>22</v>
      </c>
      <c r="F1" s="40" t="s">
        <v>5</v>
      </c>
      <c r="G1" s="43" t="s">
        <v>44</v>
      </c>
      <c r="H1" s="43" t="s">
        <v>45</v>
      </c>
      <c r="I1" s="33" t="s">
        <v>46</v>
      </c>
      <c r="J1" s="43" t="s">
        <v>47</v>
      </c>
      <c r="K1" s="42" t="s">
        <v>16</v>
      </c>
      <c r="L1" s="52" t="s">
        <v>1718</v>
      </c>
      <c r="M1" s="52" t="s">
        <v>1719</v>
      </c>
      <c r="N1" s="33" t="s">
        <v>40</v>
      </c>
      <c r="O1" s="41" t="s">
        <v>41</v>
      </c>
      <c r="P1" s="52" t="s">
        <v>1726</v>
      </c>
      <c r="Q1" s="52" t="s">
        <v>1727</v>
      </c>
      <c r="R1" s="40" t="s">
        <v>42</v>
      </c>
      <c r="S1" s="52" t="s">
        <v>1717</v>
      </c>
      <c r="T1" s="43" t="s">
        <v>1552</v>
      </c>
    </row>
    <row r="2" spans="1:20" x14ac:dyDescent="0.25">
      <c r="A2" s="32" t="str">
        <f>IF($B2="","",transaccion!$A$2)</f>
        <v/>
      </c>
      <c r="B2" s="25"/>
      <c r="C2" s="25"/>
      <c r="D2" s="25"/>
      <c r="E2" s="25"/>
      <c r="F2" s="25"/>
      <c r="G2" s="27"/>
      <c r="H2" s="27"/>
      <c r="I2" s="28"/>
      <c r="J2" s="27"/>
      <c r="K2" s="25"/>
      <c r="L2" s="24"/>
      <c r="M2" s="24"/>
      <c r="N2" s="28"/>
      <c r="O2" s="25"/>
      <c r="P2" s="24"/>
      <c r="Q2" s="24"/>
      <c r="R2" s="25"/>
      <c r="S2" s="24"/>
      <c r="T2" s="26"/>
    </row>
  </sheetData>
  <dataConsolidate/>
  <phoneticPr fontId="9" type="noConversion"/>
  <conditionalFormatting sqref="B2:T2">
    <cfRule type="expression" dxfId="78" priority="3">
      <formula>IF(B2="",1,0)</formula>
    </cfRule>
  </conditionalFormatting>
  <dataValidations count="18">
    <dataValidation type="list" allowBlank="1" showInputMessage="1" showErrorMessage="1" error="Tipo de dato ( C ) Caracter  _x000a_Seleccióne valor de la Lista Desplegable" sqref="I2">
      <formula1>_07N07_Recien_Nacidos_codSexoBiologico</formula1>
    </dataValidation>
    <dataValidation type="list" allowBlank="1" showInputMessage="1" showErrorMessage="1" error="Tipo de dato ( C ) Caracter  _x000a_Seleccióne valor de la Lista Desplegable" sqref="N2">
      <formula1>_07N10_Recien_Nacidos_condicionDestinoUsuarioEgreso</formula1>
    </dataValidation>
    <dataValidation type="custom" allowBlank="1" showInputMessage="1" showErrorMessage="1" error="Tipo de dato ( N ) Numerico _x000a_Largo  3 ó 4 Caracteres Numericos" sqref="J2">
      <formula1>AND(VALUE(J2)&gt;=0,LEN(J2)&gt;=3,LEN(J2)&lt;=4)</formula1>
    </dataValidation>
    <dataValidation type="custom" allowBlank="1" showInputMessage="1" showErrorMessage="1" error="Tipo de dato ( N ) Numerico _x000a__x000a_Largo hasta 2 Caracteres Numericos" sqref="H2">
      <formula1>AND(VALUE(H2)&gt;=0,LEN(H2)&gt;=1,LEN(H2)&lt;=2)</formula1>
    </dataValidation>
    <dataValidation type="custom" allowBlank="1" showInputMessage="1" showErrorMessage="1" error="Tipo de dato ( N ) Numerico _x000a__x000a_Largo hasta 2 Caracteres Numericos_x000a_" sqref="G2">
      <formula1>AND(VALUE(G2)&gt;=0,LEN(G2)&gt;=1,LEN(G2)&lt;=2)</formula1>
    </dataValidation>
    <dataValidation type="list" allowBlank="1" showInputMessage="1" showErrorMessage="1" error="Tipo de dato ( C ) Caracter _x000a_" sqref="D2">
      <formula1>_07N02_Recien_Nacidos_tipoDocumentoIdentificacion</formula1>
    </dataValidation>
    <dataValidation type="custom" allowBlank="1" showInputMessage="1" showErrorMessage="1" error="Tipo de dato ( N ) Numerico _x000a_Largo De  1 Hasta 7 Caracteres Numericos" sqref="T2">
      <formula1>AND(VALUE(T2)&gt;=0,LEN(T2)&gt;=1,LEN(T2)&lt;=7)</formula1>
    </dataValidation>
    <dataValidation type="list" allowBlank="1" showInputMessage="1" showErrorMessage="1" error="Seleccióne valor de la Lista Desplegable" sqref="B2">
      <formula1>_02U_Doc_Ident</formula1>
    </dataValidation>
    <dataValidation allowBlank="1" showInputMessage="1" showErrorMessage="1" error=" " sqref="A2"/>
    <dataValidation type="custom" allowBlank="1" showInputMessage="1" showErrorMessage="1" error="Tipo de dato ( C ) Caracter  _x000a_Al digitar dato tener en cuenta _x000a_Largo : de 4 hasta 25 Caracteres _x000a_No se Admite  _x000a_ --- Inicie con 0 (cero)  _x000a_ --- Espacios _x000a_ --- Null " sqref="K2">
      <formula1>AND(LEN(K2)&gt;=4,LEN(K2)&lt;=25,ISERROR(SEARCH(" ",K2,1)),LEFT(K2,1)&lt;&gt;"0",UPPER(K2)&lt;&gt;"NULL")</formula1>
    </dataValidation>
    <dataValidation type="custom" allowBlank="1" showInputMessage="1" showErrorMessage="1" error="Tipo de dato ( C ) Caracter  _x000a_Largo De 12 Caracteres_x000a__x000a_No se Admite _x000a_--- Espacios" sqref="C2">
      <formula1>AND(VALUE(C2)*1&gt;=1,LEN(C2)=12,ISERROR(SEARCH(" ",C2,1)))</formula1>
    </dataValidation>
    <dataValidation type="custom" operator="lessThanOrEqual" allowBlank="1" showInputMessage="1" showErrorMessage="1" error="Tipo de dato ( C ) Caracter  _x000a_Largo Fijo de 16 Caracteres_x000a__x000a_No se admite  _x000a_--- Fecha superior a la actual_x000a_--- Formato Fecha diferente a _x000a_     aaaa-mm-dd hh:mm" sqref="F2">
      <formula1>AND(LEN(F2)=16,F2*1&lt;=NOW(),VALUE(MID(F2,12,2))&lt;24,VALUE(MID(F2,15,2))&lt;60)</formula1>
    </dataValidation>
    <dataValidation type="custom" allowBlank="1" showInputMessage="1" showErrorMessage="1" error="Tipo de dato ( C ) Caracter  _x000a_Al digitar dato tener en cuenta _x000a_Largo : de  4 hasta 25 _x000a_No se Admite  _x000a_ --- Inicie con 0 (cero)  _x000a_ --- Espacios _x000a_ --- Null  " sqref="O2">
      <formula1>AND(LEN(O2)&gt;= 4,LEN(O2)&lt;=25,ISERROR(SEARCH(" ",O2,1)),LEFT(O2,1)&lt;&gt;"0",UPPER(O2)&lt;&gt;"NULL")</formula1>
    </dataValidation>
    <dataValidation type="custom" allowBlank="1" showInputMessage="1" showErrorMessage="1" error="Tipo de dato ( C ) Caracter  _x000a_Al digitar dato tener en cuenta _x000a_Largo : de  4 hasta 256 _x000a_No se Admite  _x000a_ --- Inicie con 0 (cero)  _x000a_ --- Espacios _x000a_ --- Null  " sqref="L2 P2">
      <formula1>AND(LEN(L2)&gt;= 4,LEN(L2)&lt;=256,ISERROR(SEARCH(" ",L2,1)),LEFT(L2,1)&lt;&gt;"0",UPPER(L2)&lt;&gt;"NULL")</formula1>
    </dataValidation>
    <dataValidation type="custom" allowBlank="1" showInputMessage="1" showErrorMessage="1" error="Tipo de dato ( C ) Caracter  _x000a_Al digitar dato tener en cuenta _x000a_Largo : de  1 hasta 256 _x000a_No se Admite  _x000a_ --- Inicie con 0 (cero)  _x000a_ --- Espacios _x000a_ --- Null  " sqref="S2">
      <formula1>AND(LEN(S2)&gt;= 1,LEN(S2)&lt;=256,ISERROR(SEARCH(" ",S2,1)),LEFT(S2,1)&lt;&gt;"0",UPPER(S2)&lt;&gt;"NULL")</formula1>
    </dataValidation>
    <dataValidation type="custom" allowBlank="1" showInputMessage="1" showErrorMessage="1" error="Tipo de dato ( C ) Caracter  _x000a_Al digitar dato tener en cuenta _x000a_Largo : de  1 hasta 1000 _x000a_No se Admite  _x000a_ --- Inicie con 0 (cero)  _x000a_ --- Espacios _x000a_ --- Null  " sqref="Q2 M2">
      <formula1>AND(LEN(M2)&gt;= 1,LEN(M2)&lt;=1000,LEFT(M2,1)&lt;&gt;"0",UPPER(M2)&lt;&gt;"NULL")</formula1>
    </dataValidation>
    <dataValidation type="custom" allowBlank="1" showInputMessage="1" showErrorMessage="1" error="Tipo de dato ( C ) Caracter  _x000a_Largo De 4 Hasta 20 Caracteres_x000a__x000a_No se Admite _x000a_--- Inicie con   0 (Cero) _x000a_--- Espacios" sqref="E2">
      <formula1>AND(E2&lt;&gt;"Null",LEN(E2)&gt;=4,LEN(E2)&lt;=20,LEFT(E2)&lt;&gt;"0",ISERROR(SEARCH(" ",E2,1)))</formula1>
    </dataValidation>
    <dataValidation type="custom" operator="lessThanOrEqual" allowBlank="1" showInputMessage="1" showErrorMessage="1" error="Tipo de dato ( C ) Caracter  _x000a_Largo Fijo de 16 Caracteres_x000a__x000a_No se admite  _x000a_--- Fecha superior a la actual_x000a_--- Fecha Egreso Inferior a Fecha Inicio_x000a_--- Formato Fecha diferente a _x000a_     aaaa-mm-dd hh:mm" sqref="R2">
      <formula1>AND(LEN(R2)=16,F2*1&lt;R2*1,R2*1&lt;=NOW(),VALUE(MID(R2,12,2))&lt;24,VALUE(MID(R2,15,2))&lt;60)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0008">
    <tabColor theme="9" tint="-0.499984740745262"/>
  </sheetPr>
  <dimension ref="A1:AD16"/>
  <sheetViews>
    <sheetView zoomScale="80" zoomScaleNormal="80" workbookViewId="0">
      <pane ySplit="1" topLeftCell="A2" activePane="bottomLeft" state="frozen"/>
      <selection activeCell="L11" sqref="L11"/>
      <selection pane="bottomLeft" activeCell="C2" sqref="C2"/>
    </sheetView>
  </sheetViews>
  <sheetFormatPr baseColWidth="10" defaultColWidth="11.5703125" defaultRowHeight="15" x14ac:dyDescent="0.25"/>
  <cols>
    <col min="1" max="1" width="12.7109375" customWidth="1"/>
    <col min="2" max="2" width="16.28515625" customWidth="1"/>
    <col min="3" max="3" width="17.7109375" customWidth="1"/>
    <col min="4" max="4" width="12.7109375" customWidth="1"/>
    <col min="5" max="5" width="19.85546875" customWidth="1"/>
    <col min="6" max="21" width="12.7109375" customWidth="1"/>
    <col min="22" max="22" width="24.140625" customWidth="1"/>
    <col min="23" max="29" width="12.7109375" customWidth="1"/>
    <col min="30" max="30" width="12.85546875" customWidth="1"/>
  </cols>
  <sheetData>
    <row r="1" spans="1:30" ht="39" customHeight="1" x14ac:dyDescent="0.25">
      <c r="A1" s="34" t="s">
        <v>1572</v>
      </c>
      <c r="B1" s="44" t="s">
        <v>1571</v>
      </c>
      <c r="C1" s="44" t="s">
        <v>27</v>
      </c>
      <c r="D1" s="46" t="s">
        <v>29</v>
      </c>
      <c r="E1" s="45" t="s">
        <v>48</v>
      </c>
      <c r="F1" s="47" t="s">
        <v>16</v>
      </c>
      <c r="G1" s="51" t="s">
        <v>1718</v>
      </c>
      <c r="H1" s="51" t="s">
        <v>1719</v>
      </c>
      <c r="I1" s="46" t="s">
        <v>34</v>
      </c>
      <c r="J1" s="51" t="s">
        <v>1728</v>
      </c>
      <c r="K1" s="51" t="s">
        <v>1729</v>
      </c>
      <c r="L1" s="44" t="s">
        <v>49</v>
      </c>
      <c r="M1" s="44" t="s">
        <v>50</v>
      </c>
      <c r="N1" s="44" t="s">
        <v>51</v>
      </c>
      <c r="O1" s="48" t="s">
        <v>52</v>
      </c>
      <c r="P1" s="48" t="s">
        <v>53</v>
      </c>
      <c r="Q1" s="44" t="s">
        <v>54</v>
      </c>
      <c r="R1" s="48" t="s">
        <v>55</v>
      </c>
      <c r="S1" s="48" t="s">
        <v>56</v>
      </c>
      <c r="T1" s="48" t="s">
        <v>57</v>
      </c>
      <c r="U1" s="35" t="s">
        <v>21</v>
      </c>
      <c r="V1" s="35" t="s">
        <v>22</v>
      </c>
      <c r="W1" s="48" t="s">
        <v>58</v>
      </c>
      <c r="X1" s="55" t="s">
        <v>1731</v>
      </c>
      <c r="Y1" s="48" t="s">
        <v>23</v>
      </c>
      <c r="Z1" s="35" t="s">
        <v>24</v>
      </c>
      <c r="AA1" s="48" t="s">
        <v>25</v>
      </c>
      <c r="AB1" s="46" t="s">
        <v>26</v>
      </c>
      <c r="AC1" s="51" t="s">
        <v>1717</v>
      </c>
      <c r="AD1" s="48" t="s">
        <v>1552</v>
      </c>
    </row>
    <row r="2" spans="1:30" ht="18.600000000000001" customHeight="1" x14ac:dyDescent="0.25">
      <c r="A2" s="32" t="str">
        <f>IF($B2="","",transaccion!$A$2)</f>
        <v/>
      </c>
      <c r="B2" s="25"/>
      <c r="C2" s="25"/>
      <c r="D2" s="25"/>
      <c r="E2" s="25"/>
      <c r="F2" s="25"/>
      <c r="G2" s="24"/>
      <c r="H2" s="24"/>
      <c r="I2" s="25"/>
      <c r="J2" s="24"/>
      <c r="K2" s="24"/>
      <c r="L2" s="25"/>
      <c r="M2" s="25"/>
      <c r="N2" s="25"/>
      <c r="O2" s="15"/>
      <c r="P2" s="26"/>
      <c r="Q2" s="25"/>
      <c r="R2" s="26"/>
      <c r="S2" s="26"/>
      <c r="T2" s="26"/>
      <c r="U2" s="25"/>
      <c r="V2" s="25"/>
      <c r="W2" s="26"/>
      <c r="X2" s="50"/>
      <c r="Y2" s="26"/>
      <c r="Z2" s="25"/>
      <c r="AA2" s="26"/>
      <c r="AB2" s="25"/>
      <c r="AC2" s="24"/>
      <c r="AD2" s="26"/>
    </row>
    <row r="3" spans="1:30" ht="18.600000000000001" customHeight="1" x14ac:dyDescent="0.25"/>
    <row r="4" spans="1:30" ht="18.600000000000001" customHeight="1" x14ac:dyDescent="0.25"/>
    <row r="5" spans="1:30" ht="18.600000000000001" customHeight="1" x14ac:dyDescent="0.25"/>
    <row r="6" spans="1:30" ht="18.600000000000001" customHeight="1" x14ac:dyDescent="0.25"/>
    <row r="7" spans="1:30" ht="18.600000000000001" customHeight="1" x14ac:dyDescent="0.25"/>
    <row r="8" spans="1:30" ht="18.600000000000001" customHeight="1" x14ac:dyDescent="0.25"/>
    <row r="9" spans="1:30" ht="18.600000000000001" customHeight="1" x14ac:dyDescent="0.25"/>
    <row r="10" spans="1:30" ht="18.600000000000001" customHeight="1" x14ac:dyDescent="0.25"/>
    <row r="11" spans="1:30" ht="18.600000000000001" customHeight="1" x14ac:dyDescent="0.25"/>
    <row r="12" spans="1:30" ht="18.600000000000001" customHeight="1" x14ac:dyDescent="0.25"/>
    <row r="13" spans="1:30" ht="18.600000000000001" customHeight="1" x14ac:dyDescent="0.25"/>
    <row r="14" spans="1:30" ht="18.600000000000001" customHeight="1" x14ac:dyDescent="0.25"/>
    <row r="15" spans="1:30" ht="18.600000000000001" customHeight="1" x14ac:dyDescent="0.25"/>
    <row r="16" spans="1:30" ht="18.600000000000001" customHeight="1" x14ac:dyDescent="0.25"/>
  </sheetData>
  <dataConsolidate/>
  <phoneticPr fontId="9" type="noConversion"/>
  <conditionalFormatting sqref="B2:AD2">
    <cfRule type="expression" dxfId="55" priority="4">
      <formula>IF(B2="",1,0)</formula>
    </cfRule>
  </conditionalFormatting>
  <dataValidations count="26">
    <dataValidation type="list" allowBlank="1" showInputMessage="1" showErrorMessage="1" error="Tipo de dato ( C ) Caracter  _x000a_Seleccióne valor de la Lista Desplegable" sqref="L2">
      <formula1>_08M07_Medicamentos_tipoMedicamento</formula1>
    </dataValidation>
    <dataValidation type="list" allowBlank="1" showInputMessage="1" showErrorMessage="1" error="Tipo de dato ( N ) Numerico _x000a_Seleccióne valor de la Lista Desplegable" sqref="P2">
      <formula1>_08M11_Medicamentos_unidadMedida</formula1>
    </dataValidation>
    <dataValidation type="list" allowBlank="1" showInputMessage="1" showErrorMessage="1" error="Tipo de dato ( C ) Caracter  _x000a_Seleccióne valor de la Lista Desplegable" sqref="Q2">
      <formula1>_08M12_Medicamentos_formaFarmaceutica</formula1>
    </dataValidation>
    <dataValidation type="list" allowBlank="1" showInputMessage="1" showErrorMessage="1" error="Tipo de dato ( N ) Numerico _x000a_Seleccióne valor de la Lista Desplegable" sqref="R2">
      <formula1>_08M13_Medicamentos_unidadMinDispensa</formula1>
    </dataValidation>
    <dataValidation type="list" allowBlank="1" showInputMessage="1" showErrorMessage="1" error="Tipo de dato ( C ) Caracter  _x000a_Seleccióne valor de la Lista Desplegable" sqref="Z2">
      <formula1>_08M20_Medicamentos_conceptoRecaudo</formula1>
    </dataValidation>
    <dataValidation type="custom" allowBlank="1" showInputMessage="1" showErrorMessage="1" error="Tipo de dato ( N ) Numerico _x000a_Largo De  1 Hasta 10 Caracteres Numericos" sqref="AA2 S2">
      <formula1>AND(VALUE(S2)&gt;=0,AND(LEN(S2)&gt;=1,LEN(S2)&lt;=10))</formula1>
    </dataValidation>
    <dataValidation type="list" allowBlank="1" showInputMessage="1" showErrorMessage="1" error="Tipo de dato ( C ) Caracter _x000a_Seleccióne valor de la Lista Desplegable" sqref="U2">
      <formula1>_08M16_Medicamentos_tipoDocumentoIdentificacion</formula1>
    </dataValidation>
    <dataValidation type="custom" allowBlank="1" showInputMessage="1" showErrorMessage="1" error="Tipo de dato ( N ) Numerico _x000a_Largo De  1 Hasta 7 Caracteres Numericos" sqref="AD2">
      <formula1>AND(VALUE(AD2)&gt;=0,LEN(AD2)&gt;=1,LEN(AD2)&lt;=7)</formula1>
    </dataValidation>
    <dataValidation type="list" allowBlank="1" showInputMessage="1" showErrorMessage="1" error="Seleccióne valor de la Lista Desplegable" sqref="B2">
      <formula1>_02U_Doc_Ident</formula1>
    </dataValidation>
    <dataValidation allowBlank="1" showInputMessage="1" showErrorMessage="1" error=" " sqref="A2"/>
    <dataValidation type="custom" allowBlank="1" showInputMessage="1" showErrorMessage="1" error="Tipo de dato ( C ) Caracter  _x000a_Largo De 4 Hasta 20 Caracteres_x000a__x000a_No se Admite _x000a_--- Inicie con   0 (Cero) _x000a_--- Espacios" sqref="V2">
      <formula1>AND(V2&lt;&gt;"Null",LEN(V2)&gt;=4,LEN(V2)&lt;=20,LEFT(V2)&lt;&gt;"0",ISERROR(SEARCH(" ",V2,1)))</formula1>
    </dataValidation>
    <dataValidation type="custom" allowBlank="1" showInputMessage="1" showErrorMessage="1" error="Tipo de dato ( C ) Caracter  _x000a_Largo De 12 Caracteres_x000a__x000a_No se Admite _x000a_--- Espacios" sqref="C2">
      <formula1>AND(VALUE(C2)*1&gt;=1,LEN(C2)=12,ISERROR(SEARCH(" ",C2,1)))</formula1>
    </dataValidation>
    <dataValidation type="custom" allowBlank="1" showInputMessage="1" showErrorMessage="1" error="Tipo de dato ( N ) Numerico _x000a_Largo De  1 Hasta 3 Caracteres Numericos" sqref="T2">
      <formula1>AND(VALUE(T2)&gt;=0,AND(LEN(T2)&gt;=1,LEN(T2)&lt;=3))</formula1>
    </dataValidation>
    <dataValidation type="custom" allowBlank="1" showInputMessage="1" showErrorMessage="1" error="Tipo de dato ( N ) Numerico _x000a_Largo De  1 Hasta 15 Caracteres Numericos" sqref="Y2 W2">
      <formula1>AND(VALUE(W2)&gt;=0,AND(LEN(W2)&gt;=1,LEN(W2)&lt;=15))</formula1>
    </dataValidation>
    <dataValidation type="custom" allowBlank="1" showInputMessage="1" showErrorMessage="1" error="Tipo de dato ( C ) Caracter  _x000a_Al digitar dato tener en cuenta _x000a_Largo : de 0 hasta 30 _x000a_No se Admite  _x000a_ --- Inicie con 0 (cero)  _x000a_ --- Espacios _x000a_ --- Null  " sqref="N2">
      <formula1>AND(LEN(N2)&gt;=0,LEN(N2)&lt;=30,LEFT(N2,1)&lt;&gt;"0",UPPER(N2)&lt;&gt;"NULL")</formula1>
    </dataValidation>
    <dataValidation type="custom" operator="lessThanOrEqual" allowBlank="1" showInputMessage="1" showErrorMessage="1" error="Tipo de dato ( C ) Caracter  _x000a_Largo Fijo de 16 Caracteres_x000a__x000a_No se admite  _x000a_--- Fecha superior a la actual_x000a_--- Formato Fecha diferente a _x000a_     aaaa-mm-dd hh:mm" sqref="E2">
      <formula1>AND(LEN(E2)=16,E2*1&lt;=NOW(),VALUE(MID(E2,12,2))&lt;24,VALUE(MID(E2,15,2))&lt;60)</formula1>
    </dataValidation>
    <dataValidation type="custom" allowBlank="1" showInputMessage="1" showErrorMessage="1" error="Tipo de dato ( C ) Caracter _x000a_Largo De  1 Hasta 20 Caracteres_x000a__x000a_No se Admite _x000a_--- Inicie con   0 (Cero) _x000a_--- Null" sqref="M2">
      <formula1>AND(M2&lt;&gt;"null",LEN(M2)&gt;=0,LEN(M2)&lt;=20,LEFT(M2)&lt;&gt;"0")</formula1>
    </dataValidation>
    <dataValidation type="custom" allowBlank="1" showInputMessage="1" showErrorMessage="1" error="Tipo de dato ( C ) Caracter _x000a_Al digitar dato tener en cuenta _x000a_Largo : de  1 hasta 19 _x000a_No se Admite _x000a_ --- Inicie con 0 (cero) _x000a_ --- Espacios _x000a_ --- Null " sqref="D2">
      <formula1>AND(LEN(D2)&gt;= 1,LEN(D2)&lt;=19,ISERROR(SEARCH(" ",D2,1)),LEFT(D2,1)&lt;&gt;"0",UPPER(D2)&lt;&gt;"NULL")</formula1>
    </dataValidation>
    <dataValidation type="custom" allowBlank="1" showInputMessage="1" showErrorMessage="1" error="Tipo de dato ( C ) Caracter  _x000a_Al digitar dato tener en cuenta _x000a_Largo : de  1 hasta 256 _x000a_No se Admite  _x000a_ --- Inicie con 0 (cero)  _x000a_ --- Espacios _x000a_ --- Null " sqref="AC2">
      <formula1>AND(LEN(AC2)&gt;= 1,LEN(AC2)&lt;=256,ISERROR(SEARCH(" ",AC2,1)),LEFT(AC2,1)&lt;&gt;"0",UPPER(AC2)&lt;&gt;"NULL")</formula1>
    </dataValidation>
    <dataValidation type="custom" allowBlank="1" showInputMessage="1" showErrorMessage="1" error="Tipo de dato ( C ) Caracter  _x000a_Al digitar dato tener en cuenta _x000a_Largo : de  4 hasta 256 _x000a_No se Admite  _x000a_ --- Inicie con 0 (cero)  _x000a_ --- Espacios _x000a_ --- Null  " sqref="J2 G2">
      <formula1>AND(LEN(G2)&gt;= 4,LEN(G2)&lt;=256,ISERROR(SEARCH(" ",G2,1)),LEFT(G2,1)&lt;&gt;"0",UPPER(G2)&lt;&gt;"NULL")</formula1>
    </dataValidation>
    <dataValidation type="custom" errorStyle="warning" allowBlank="1" showInputMessage="1" showErrorMessage="1" error="Tipo de dato ( C ) Caracter  _x000a_Verificar Disposicion DIAN para prestadores de Salud_x000a_No se Admite  _x000a_ --- Inicie con 0 (cero)  _x000a_ --- Espacios _x000a_ --- Null  " sqref="AB2">
      <formula1>AND(LEN(AB2)&gt;=1,LEN(AB2)&lt;=64,ISERROR(SEARCH(" ",AB2,1)),LEFT(AB2,1)&lt;&gt;"0",UPPER(AB2)&lt;&gt;"NULL")</formula1>
    </dataValidation>
    <dataValidation type="custom" allowBlank="1" showInputMessage="1" showErrorMessage="1" error="Tipo de dato ( C ) Caracter  _x000a_Al digitar dato tener en cuenta _x000a_Largo : 4 Caracteres _x000a_No se Admite  _x000a_ --- Inicie con 0 (cero)  _x000a_ --- Espacios _x000a_ --- Null  " sqref="I2">
      <formula1>AND(LEN(I2)=4,ISERROR(SEARCH(" ",I2,1)),LEFT(I2,1)&lt;&gt;"0",UPPER(I2)&lt;&gt;"NULL")</formula1>
    </dataValidation>
    <dataValidation type="custom" allowBlank="1" showInputMessage="1" showErrorMessage="1" error="Tipo de dato ( N ) Numero  _x000a_Al digitar dato tener en cuenta _x000a_Largo : de 0 hasta 24 digitos numericos _x000a_No se Admite  _x000a_ --- Espacios _x000a_ --- Null  " sqref="O2">
      <formula1>AND(LEN(O2)&gt;=0,LEN(O2)&lt;=24,VALUE(O2)&gt;=0,ISERROR(SEARCH(" ",O2,1)),UPPER(O2)&lt;&gt;"NULL")</formula1>
    </dataValidation>
    <dataValidation type="custom" allowBlank="1" showInputMessage="1" showErrorMessage="1" error="Tipo de dato ( C ) Caracter  _x000a_Al digitar dato tener en cuenta _x000a_Largo : 4 Caracteres _x000a_No se Admite  _x000a_ --- Inicie con 0 (cero)  _x000a_ --- Espacios _x000a_ --- Null " sqref="F2">
      <formula1>AND(LEN(F2)=4,ISERROR(SEARCH(" ",F2,1)),LEFT(F2,1)&lt;&gt;"0",UPPER(F2)&lt;&gt;"NULL")</formula1>
    </dataValidation>
    <dataValidation type="custom" allowBlank="1" showInputMessage="1" showErrorMessage="1" error="Tipo de dato ( C ) Caracter  _x000a_Al digitar dato tener en cuenta _x000a_Largo : de  1 hasta 1000 _x000a_No se Admite  _x000a_ --- Inicie con 0 (cero)  _x000a_ --- Espacios _x000a_ --- Null  " sqref="H2 K2">
      <formula1>AND(LEN(H2)&gt;= 1,LEN(H2)&lt;=1000,LEFT(H2,1)&lt;&gt;"0",UPPER(H2)&lt;&gt;"NULL")</formula1>
    </dataValidation>
    <dataValidation type="custom" allowBlank="1" showInputMessage="1" showErrorMessage="1" error="Tipo de dato ( N ) Numero  _x000a_Al digitar dato tener en cuenta _x000a_Largo : de 0 hasta 15 digitos numericos  _x000a_No se Admite  _x000a_ --- Espacios _x000a_ --- Null " sqref="X2">
      <formula1>AND(LEN(X2)&gt;=0,LEN(X2)&lt;=15,VALUE(X2)&gt;=0)</formula1>
    </dataValidation>
  </dataValidations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0009">
    <tabColor theme="8" tint="-0.499984740745262"/>
  </sheetPr>
  <dimension ref="A1:T29"/>
  <sheetViews>
    <sheetView zoomScale="80" zoomScaleNormal="80" workbookViewId="0">
      <pane ySplit="1" topLeftCell="A2" activePane="bottomLeft" state="frozen"/>
      <selection activeCell="B8" sqref="B8"/>
      <selection pane="bottomLeft" activeCell="L11" sqref="L11"/>
    </sheetView>
  </sheetViews>
  <sheetFormatPr baseColWidth="10" defaultColWidth="11.5703125" defaultRowHeight="15" x14ac:dyDescent="0.25"/>
  <cols>
    <col min="1" max="1" width="12.7109375" customWidth="1"/>
    <col min="2" max="2" width="16.7109375" customWidth="1"/>
    <col min="3" max="3" width="16.28515625" customWidth="1"/>
    <col min="4" max="5" width="12.7109375" customWidth="1"/>
    <col min="6" max="6" width="20.5703125" customWidth="1"/>
    <col min="7" max="8" width="12.7109375" customWidth="1"/>
    <col min="9" max="9" width="18.5703125" customWidth="1"/>
    <col min="10" max="11" width="12.7109375" customWidth="1"/>
    <col min="12" max="12" width="23.42578125" customWidth="1"/>
    <col min="13" max="20" width="12.7109375" customWidth="1"/>
  </cols>
  <sheetData>
    <row r="1" spans="1:20" ht="39" customHeight="1" x14ac:dyDescent="0.25">
      <c r="A1" s="34" t="s">
        <v>1572</v>
      </c>
      <c r="B1" s="44" t="s">
        <v>1571</v>
      </c>
      <c r="C1" s="44" t="s">
        <v>27</v>
      </c>
      <c r="D1" s="46" t="s">
        <v>43</v>
      </c>
      <c r="E1" s="46" t="s">
        <v>29</v>
      </c>
      <c r="F1" s="45" t="s">
        <v>59</v>
      </c>
      <c r="G1" s="35" t="s">
        <v>60</v>
      </c>
      <c r="H1" s="44" t="s">
        <v>50</v>
      </c>
      <c r="I1" s="44" t="s">
        <v>51</v>
      </c>
      <c r="J1" s="48" t="s">
        <v>61</v>
      </c>
      <c r="K1" s="35" t="s">
        <v>21</v>
      </c>
      <c r="L1" s="35" t="s">
        <v>22</v>
      </c>
      <c r="M1" s="48" t="s">
        <v>62</v>
      </c>
      <c r="N1" s="54" t="s">
        <v>1731</v>
      </c>
      <c r="O1" s="48" t="s">
        <v>23</v>
      </c>
      <c r="P1" s="35" t="s">
        <v>24</v>
      </c>
      <c r="Q1" s="48" t="s">
        <v>25</v>
      </c>
      <c r="R1" s="49" t="s">
        <v>26</v>
      </c>
      <c r="S1" s="51" t="s">
        <v>1717</v>
      </c>
      <c r="T1" s="48" t="s">
        <v>1552</v>
      </c>
    </row>
    <row r="2" spans="1:20" ht="16.149999999999999" customHeight="1" x14ac:dyDescent="0.25">
      <c r="A2" s="31" t="str">
        <f>IF($B2="","",transaccion!$A$2)</f>
        <v/>
      </c>
      <c r="B2" s="14"/>
      <c r="C2" s="25"/>
      <c r="D2" s="14"/>
      <c r="E2" s="14"/>
      <c r="F2" s="14"/>
      <c r="G2" s="14"/>
      <c r="H2" s="14"/>
      <c r="I2" s="14"/>
      <c r="J2" s="53"/>
      <c r="K2" s="14"/>
      <c r="L2" s="14"/>
      <c r="M2" s="53"/>
      <c r="N2" s="53"/>
      <c r="O2" s="53"/>
      <c r="P2" s="14"/>
      <c r="Q2" s="53"/>
      <c r="R2" s="14"/>
      <c r="S2" s="14"/>
      <c r="T2" s="53"/>
    </row>
    <row r="3" spans="1:20" ht="16.149999999999999" customHeight="1" x14ac:dyDescent="0.25"/>
    <row r="4" spans="1:20" ht="16.149999999999999" customHeight="1" x14ac:dyDescent="0.25"/>
    <row r="5" spans="1:20" ht="16.149999999999999" customHeight="1" x14ac:dyDescent="0.25"/>
    <row r="6" spans="1:20" ht="16.149999999999999" customHeight="1" x14ac:dyDescent="0.25"/>
    <row r="7" spans="1:20" ht="16.149999999999999" customHeight="1" x14ac:dyDescent="0.25"/>
    <row r="8" spans="1:20" ht="16.149999999999999" customHeight="1" x14ac:dyDescent="0.25"/>
    <row r="9" spans="1:20" ht="16.149999999999999" customHeight="1" x14ac:dyDescent="0.25"/>
    <row r="10" spans="1:20" ht="16.149999999999999" customHeight="1" x14ac:dyDescent="0.25"/>
    <row r="11" spans="1:20" ht="16.149999999999999" customHeight="1" x14ac:dyDescent="0.25"/>
    <row r="12" spans="1:20" ht="16.149999999999999" customHeight="1" x14ac:dyDescent="0.25"/>
    <row r="13" spans="1:20" ht="16.149999999999999" customHeight="1" x14ac:dyDescent="0.25"/>
    <row r="14" spans="1:20" ht="16.149999999999999" customHeight="1" x14ac:dyDescent="0.25"/>
    <row r="15" spans="1:20" ht="16.149999999999999" customHeight="1" x14ac:dyDescent="0.25"/>
    <row r="16" spans="1:20" ht="16.149999999999999" customHeight="1" x14ac:dyDescent="0.25"/>
    <row r="17" ht="16.149999999999999" customHeight="1" x14ac:dyDescent="0.25"/>
    <row r="18" ht="16.149999999999999" customHeight="1" x14ac:dyDescent="0.25"/>
    <row r="19" ht="16.149999999999999" customHeight="1" x14ac:dyDescent="0.25"/>
    <row r="20" ht="16.149999999999999" customHeight="1" x14ac:dyDescent="0.25"/>
    <row r="21" ht="16.149999999999999" customHeight="1" x14ac:dyDescent="0.25"/>
    <row r="22" ht="16.149999999999999" customHeight="1" x14ac:dyDescent="0.25"/>
    <row r="23" ht="16.149999999999999" customHeight="1" x14ac:dyDescent="0.25"/>
    <row r="24" ht="16.149999999999999" customHeight="1" x14ac:dyDescent="0.25"/>
    <row r="25" ht="16.149999999999999" customHeight="1" x14ac:dyDescent="0.25"/>
    <row r="26" ht="16.149999999999999" customHeight="1" x14ac:dyDescent="0.25"/>
    <row r="27" ht="16.149999999999999" customHeight="1" x14ac:dyDescent="0.25"/>
    <row r="28" ht="16.149999999999999" customHeight="1" x14ac:dyDescent="0.25"/>
    <row r="29" ht="16.149999999999999" customHeight="1" x14ac:dyDescent="0.25"/>
  </sheetData>
  <dataConsolidate/>
  <conditionalFormatting sqref="B2:T2">
    <cfRule type="expression" dxfId="22" priority="5">
      <formula>IF(B2="",1,0)</formula>
    </cfRule>
  </conditionalFormatting>
  <dataValidations disablePrompts="1" count="19">
    <dataValidation type="list" allowBlank="1" showInputMessage="1" showErrorMessage="1" error="Seleccióne valor de la Lista Desplegable" sqref="B2">
      <formula1>_02U_Doc_Ident</formula1>
    </dataValidation>
    <dataValidation allowBlank="1" showInputMessage="1" showErrorMessage="1" error=" " sqref="A2"/>
    <dataValidation type="custom" allowBlank="1" showInputMessage="1" showErrorMessage="1" error="Tipo de dato ( C ) Caracter _x000a_Largo De  1 Hasta 20 Caracteres_x000a__x000a_No se Admite _x000a_--- Inicie con   0 (Cero) _x000a_--- Null" sqref="H2">
      <formula1>AND(H2&lt;&gt;"null",LEN(H2)&gt;=1,LEN(H2)&lt;=20,LEFT(H2)&lt;&gt;"0")</formula1>
    </dataValidation>
    <dataValidation type="custom" allowBlank="1" showInputMessage="1" showErrorMessage="1" error="Tipo de dato ( C ) Caracter  _x000a_Largo De 4 Hasta 20 Caracteres_x000a__x000a_No se Admite _x000a_--- Inicie con   0 (Cero) _x000a_--- Espacios" sqref="L2">
      <formula1>OR(L2="null",AND(LEN(L2)&gt;=4,LEN(L2)&lt;=20,LEFT(L2)&lt;&gt;"0",ISERROR(SEARCH(" ",L2,1))))</formula1>
    </dataValidation>
    <dataValidation type="custom" allowBlank="1" showInputMessage="1" showErrorMessage="1" error="Tipo de dato ( N ) Numerico _x000a_Largo De  1 Hasta 15 Caracteres Numericos" sqref="M2 O2">
      <formula1>AND(VALUE(M2)&gt;=0,LEN(M2)&gt;=1,LEN(M2)&lt;=15)</formula1>
    </dataValidation>
    <dataValidation type="list" allowBlank="1" showInputMessage="1" showErrorMessage="1" error="Tipo de dato ( C ) Caracter _x000a_Seleccióne valor de la Lista Desplegable" sqref="K2">
      <formula1>_09S09_Otros_Servicios_tipoDocumentoIdentificacion</formula1>
    </dataValidation>
    <dataValidation type="list" allowBlank="1" showInputMessage="1" showErrorMessage="1" error="Tipo de dato ( C ) Caracter  _x000a_Seleccióne valor de la Lista Desplegable" sqref="G2">
      <formula1>_09S05_Otros_Servicios_tipoOS</formula1>
    </dataValidation>
    <dataValidation type="list" allowBlank="1" showInputMessage="1" showErrorMessage="1" error="Tipo de dato ( C ) Caracter  _x000a_Seleccióne valor de la Lista Desplegable" sqref="P2">
      <formula1>_09S13_Otros_Servicios_conceptoRecaudo</formula1>
    </dataValidation>
    <dataValidation type="custom" allowBlank="1" showInputMessage="1" showErrorMessage="1" error="Tipo de dato ( N ) Numero  _x000a_Al digitar dato tener en cuenta _x000a_Largo : de 1 hasta 15 digitos numericos _x000a_No se Admite  _x000a_ --- Espacios _x000a_ --- Null " sqref="Q2">
      <formula1>AND(LEN(Q2)&gt;=1,LEN(Q2)&lt;=15,VALUE(Q2)&gt;=0)</formula1>
    </dataValidation>
    <dataValidation type="custom" allowBlank="1" showInputMessage="1" showErrorMessage="1" error="Tipo de dato ( C ) Caracter  _x000a_Largo De 12 Caracteres_x000a__x000a_No se Admite _x000a_--- Espacios" sqref="C2">
      <formula1>AND(VALUE(C2)*1&gt;=1,LEN(C2)=12,ISERROR(SEARCH(" ",C2,1)))</formula1>
    </dataValidation>
    <dataValidation type="custom" operator="lessThanOrEqual" allowBlank="1" showInputMessage="1" showErrorMessage="1" error="Tipo de dato ( C ) Caracter  _x000a_Largo Fijo de 16 Caracteres_x000a__x000a_No se admite  _x000a_--- Fecha superior a la actual_x000a_--- Formato Fecha diferente a _x000a_     aaaa-mm-dd hh:mm" sqref="F2">
      <formula1>AND(LEN(F2)=16,F2*1&lt;=NOW(),VALUE(MID(F2,12,2))&lt;24,VALUE(MID(F2,15,2))&lt;60)</formula1>
    </dataValidation>
    <dataValidation type="custom" allowBlank="1" showInputMessage="1" showErrorMessage="1" error="Tipo de dato ( C ) Caracter  _x000a_Largo De 1 Hasta 30 Caracteres_x000a__x000a_No se Admite _x000a_--- Inicie con   0 (Cero) _x000a_--- Null" sqref="D2">
      <formula1>AND(D2&lt;&gt;"null",OR(AND(LEN(D2)&gt;=0,LEN(D2)&lt;=30,LEFT(D2)&lt;&gt;"0",ISERROR(SEARCH(" ",D2,1)))))</formula1>
    </dataValidation>
    <dataValidation type="custom" allowBlank="1" showInputMessage="1" showErrorMessage="1" error="Tipo de dato ( N ) Numero  _x000a_Al digitar dato tener en cuenta _x000a_Largo : de 1 a 5 digitos numericos _x000a_No se Admite  _x000a_ --- Espacios _x000a_ --- Null " sqref="J2">
      <formula1>AND(LEN(J2)&gt;=1,LEN(J2)&lt;=5,VALUE(J2)&gt;=1)</formula1>
    </dataValidation>
    <dataValidation type="custom" allowBlank="1" showInputMessage="1" showErrorMessage="1" error="Tipo de dato ( N ) Numerico _x000a_Largo De  1 Hasta 7 Caracteres Numericos" sqref="T2">
      <formula1>AND(VALUE(T2)&gt;=0,LEN(T2)&gt;=1,LEN(T2)&lt;=7)</formula1>
    </dataValidation>
    <dataValidation type="custom" allowBlank="1" showInputMessage="1" showErrorMessage="1" error="Tipo de dato ( C ) Caracter _x000a_Al digitar dato tener en cuenta _x000a_Largo : de  1 hasta 19 _x000a_No se Admite _x000a_ --- Inicie con 0 (cero) _x000a_ --- Espacios _x000a_ --- Null " sqref="E2">
      <formula1>AND(LEN(E2)&gt;= 1,LEN(E2)&lt;=19,ISERROR(SEARCH(" ",E2,1)),LEFT(E2,1)&lt;&gt;"0",UPPER(E2)&lt;&gt;"NULL")</formula1>
    </dataValidation>
    <dataValidation type="custom" allowBlank="1" showInputMessage="1" showErrorMessage="1" error="Tipo de dato ( N ) Numero  _x000a_Al digitar dato tener en cuenta _x000a_Largo : de 0 hasta 15 digitos numericos _x000a_No se Admite  _x000a_ --- Espacios _x000a_ --- Null " sqref="N2">
      <formula1>AND(LEN(N2)&gt;=0,LEN(N2)&lt;=15,VALUE(N2)&gt;=0)</formula1>
    </dataValidation>
    <dataValidation type="custom" allowBlank="1" showInputMessage="1" showErrorMessage="1" error="Tipo de dato ( C ) Caracter  _x000a_Al digitar dato tener en cuenta _x000a_Largo : de  1 hasta 256 _x000a_No se Admite  _x000a_ --- Inicie con 0 (cero)  _x000a_ --- Espacios _x000a_ --- Null " sqref="S2">
      <formula1>AND(LEN(S2)&gt;= 1,LEN(S2)&lt;=256,ISERROR(SEARCH(" ",S2,1)),LEFT(S2,1)&lt;&gt;"0",UPPER(S2)&lt;&gt;"NULL")</formula1>
    </dataValidation>
    <dataValidation type="custom" errorStyle="warning" allowBlank="1" showInputMessage="1" showErrorMessage="1" error="Tipo de dato ( C ) Caracter  _x000a_Verificar Disposicion DIAN para prestadores de Salud_x000a_No se Admite  _x000a_ --- Inicie con 0 (cero)  _x000a_ --- Espacios _x000a_ --- Null  " sqref="R2">
      <formula1>AND(LEN(R2)&gt;=1,LEN(R2)&lt;=64,ISERROR(SEARCH(" ",R2,1)),LEFT(R2,1)&lt;&gt;"0",UPPER(R2)&lt;&gt;"NULL")</formula1>
    </dataValidation>
    <dataValidation type="custom" allowBlank="1" showInputMessage="1" showErrorMessage="1" error="Tipo de dato ( C ) Caracter  _x000a_Al digitar dato tener en cuenta _x000a_Largo : de  1 hasta 200 _x000a_No se Admite  _x000a_ --- Inicie con 0 (cero)  _x000a_ --- Espacios _x000a_ --- Null " sqref="I2">
      <formula1>AND(LEN(I2)&gt;= 1,LEN(I2)&lt;=200,LEFT(I2,1)&lt;&gt;"0",UPPER(I2)&lt;&gt;"NULL")</formula1>
    </dataValidation>
  </dataValidations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0010"/>
  <dimension ref="A1:CZ1497"/>
  <sheetViews>
    <sheetView zoomScale="80" zoomScaleNormal="80" workbookViewId="0">
      <pane ySplit="10" topLeftCell="A11" activePane="bottomLeft" state="frozen"/>
      <selection activeCell="B14" sqref="B14"/>
      <selection pane="bottomLeft" activeCell="A10" sqref="A10"/>
    </sheetView>
  </sheetViews>
  <sheetFormatPr baseColWidth="10" defaultColWidth="11.5703125" defaultRowHeight="15" x14ac:dyDescent="0.25"/>
  <cols>
    <col min="1" max="1" width="5.42578125" bestFit="1" customWidth="1"/>
    <col min="2" max="6" width="5.42578125" customWidth="1"/>
    <col min="7" max="10" width="5" customWidth="1"/>
    <col min="11" max="11" width="12.28515625" bestFit="1" customWidth="1"/>
    <col min="12" max="12" width="8" customWidth="1"/>
    <col min="13" max="14" width="5" customWidth="1"/>
    <col min="15" max="15" width="6.7109375" customWidth="1"/>
    <col min="16" max="17" width="5" customWidth="1"/>
    <col min="18" max="18" width="6.28515625" customWidth="1"/>
    <col min="19" max="26" width="5" customWidth="1"/>
    <col min="27" max="27" width="6.28515625" customWidth="1"/>
    <col min="28" max="39" width="5" customWidth="1"/>
    <col min="40" max="40" width="8.85546875" customWidth="1"/>
    <col min="41" max="41" width="11.28515625" customWidth="1"/>
    <col min="42" max="47" width="5" customWidth="1"/>
    <col min="48" max="48" width="8.85546875" customWidth="1"/>
    <col min="49" max="49" width="5.7109375" bestFit="1" customWidth="1"/>
    <col min="50" max="50" width="16.5703125" bestFit="1" customWidth="1"/>
    <col min="51" max="80" width="16.5703125" customWidth="1"/>
  </cols>
  <sheetData>
    <row r="1" spans="1:104" ht="16.149999999999999" customHeight="1" x14ac:dyDescent="0.25">
      <c r="A1" s="7">
        <f>IF(AND(A11&lt;&gt;"",A11&lt;&gt;0),COUNTA(A11:A5011),IF(A11="",COUNTA(A11:A5011)+1,IF(A11=0,COUNT(A11:A5011),"")))</f>
        <v>3</v>
      </c>
      <c r="G1" s="7">
        <f>IF(AND(G11&lt;&gt;"",G11&lt;&gt;0),COUNTA(G11:G5011),IF(G11="",COUNTA(G11:G5011)+1,IF(G11=0,COUNT(G11:G5011),"")))</f>
        <v>5</v>
      </c>
      <c r="H1" s="7">
        <f t="shared" ref="H1:AU1" si="0">IF(AND(H11&lt;&gt;"",H11&lt;&gt;0),COUNTA(H11:H5011),IF(H11="",COUNTA(H11:H5011)+1,IF(H11=0,COUNT(H11:H5011),"")))</f>
        <v>16</v>
      </c>
      <c r="I1" s="7">
        <f t="shared" si="0"/>
        <v>13</v>
      </c>
      <c r="J1" s="7">
        <f t="shared" si="0"/>
        <v>3</v>
      </c>
      <c r="K1" s="7">
        <f t="shared" si="0"/>
        <v>249</v>
      </c>
      <c r="L1" s="7">
        <f t="shared" si="0"/>
        <v>1125</v>
      </c>
      <c r="M1" s="7">
        <f t="shared" si="0"/>
        <v>3</v>
      </c>
      <c r="N1" s="7">
        <f t="shared" si="0"/>
        <v>2</v>
      </c>
      <c r="O1" s="7">
        <f t="shared" si="0"/>
        <v>249</v>
      </c>
      <c r="P1" s="7">
        <f t="shared" si="0"/>
        <v>8</v>
      </c>
      <c r="Q1" s="7">
        <f t="shared" si="0"/>
        <v>5</v>
      </c>
      <c r="R1" s="7">
        <f t="shared" si="0"/>
        <v>157</v>
      </c>
      <c r="S1" s="7">
        <f t="shared" si="0"/>
        <v>34</v>
      </c>
      <c r="T1" s="7">
        <f t="shared" si="0"/>
        <v>29</v>
      </c>
      <c r="U1" s="7">
        <f t="shared" si="0"/>
        <v>3</v>
      </c>
      <c r="V1" s="7">
        <f t="shared" si="0"/>
        <v>16</v>
      </c>
      <c r="W1" s="7">
        <f t="shared" si="0"/>
        <v>5</v>
      </c>
      <c r="X1" s="7">
        <f t="shared" si="0"/>
        <v>14</v>
      </c>
      <c r="Y1" s="7">
        <f t="shared" si="0"/>
        <v>8</v>
      </c>
      <c r="Z1" s="7">
        <f t="shared" si="0"/>
        <v>5</v>
      </c>
      <c r="AA1" s="7">
        <f t="shared" si="0"/>
        <v>157</v>
      </c>
      <c r="AB1" s="7">
        <f t="shared" si="0"/>
        <v>34</v>
      </c>
      <c r="AC1" s="7">
        <f t="shared" si="0"/>
        <v>16</v>
      </c>
      <c r="AD1" s="7">
        <f t="shared" si="0"/>
        <v>5</v>
      </c>
      <c r="AE1" s="7">
        <f t="shared" si="0"/>
        <v>29</v>
      </c>
      <c r="AF1" s="7">
        <f t="shared" si="0"/>
        <v>8</v>
      </c>
      <c r="AG1" s="7">
        <f t="shared" si="0"/>
        <v>14</v>
      </c>
      <c r="AH1" s="7">
        <f t="shared" si="0"/>
        <v>29</v>
      </c>
      <c r="AI1" s="7">
        <f t="shared" si="0"/>
        <v>8</v>
      </c>
      <c r="AJ1" s="7">
        <f t="shared" si="0"/>
        <v>3</v>
      </c>
      <c r="AK1" s="7">
        <f t="shared" si="0"/>
        <v>3</v>
      </c>
      <c r="AL1" s="7">
        <f t="shared" si="0"/>
        <v>8</v>
      </c>
      <c r="AM1" s="7">
        <f t="shared" si="0"/>
        <v>5</v>
      </c>
      <c r="AN1" s="7">
        <f t="shared" si="0"/>
        <v>274</v>
      </c>
      <c r="AO1" s="7">
        <f t="shared" si="0"/>
        <v>48</v>
      </c>
      <c r="AP1" s="7">
        <f t="shared" si="0"/>
        <v>78</v>
      </c>
      <c r="AQ1" s="7">
        <f t="shared" si="0"/>
        <v>17</v>
      </c>
      <c r="AR1" s="7">
        <f t="shared" si="0"/>
        <v>5</v>
      </c>
      <c r="AS1" s="7">
        <f t="shared" si="0"/>
        <v>6</v>
      </c>
      <c r="AT1" s="7">
        <f t="shared" si="0"/>
        <v>17</v>
      </c>
      <c r="AU1" s="7">
        <f t="shared" si="0"/>
        <v>5</v>
      </c>
      <c r="AV1" t="s">
        <v>121</v>
      </c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104" ht="15.75" customHeight="1" x14ac:dyDescent="0.25">
      <c r="A2" t="str">
        <f>SUBSTITUTE(ADDRESS(ROW(),COLUMN(),4),"2","")</f>
        <v>A</v>
      </c>
      <c r="E2" s="11"/>
      <c r="G2" t="s">
        <v>1660</v>
      </c>
      <c r="H2" t="s">
        <v>125</v>
      </c>
      <c r="I2" t="s">
        <v>135</v>
      </c>
      <c r="J2" t="s">
        <v>1661</v>
      </c>
      <c r="K2" t="s">
        <v>1662</v>
      </c>
      <c r="L2" t="s">
        <v>1663</v>
      </c>
      <c r="M2" t="s">
        <v>145</v>
      </c>
      <c r="N2" t="s">
        <v>1664</v>
      </c>
      <c r="O2" t="s">
        <v>1665</v>
      </c>
      <c r="P2" t="s">
        <v>1666</v>
      </c>
      <c r="Q2" t="s">
        <v>1667</v>
      </c>
      <c r="R2" s="8" t="s">
        <v>1668</v>
      </c>
      <c r="S2" t="s">
        <v>1669</v>
      </c>
      <c r="T2" t="s">
        <v>1670</v>
      </c>
      <c r="U2" t="s">
        <v>1671</v>
      </c>
      <c r="V2" t="s">
        <v>1672</v>
      </c>
      <c r="W2" t="s">
        <v>1673</v>
      </c>
      <c r="X2" t="s">
        <v>1674</v>
      </c>
      <c r="Y2" t="s">
        <v>1675</v>
      </c>
      <c r="Z2" t="s">
        <v>1687</v>
      </c>
      <c r="AA2" s="8" t="s">
        <v>1688</v>
      </c>
      <c r="AB2" t="s">
        <v>1689</v>
      </c>
      <c r="AC2" t="s">
        <v>1690</v>
      </c>
      <c r="AD2" t="s">
        <v>1691</v>
      </c>
      <c r="AE2" t="s">
        <v>1692</v>
      </c>
      <c r="AF2" t="s">
        <v>1693</v>
      </c>
      <c r="AG2" t="s">
        <v>1694</v>
      </c>
      <c r="AH2" t="s">
        <v>1695</v>
      </c>
      <c r="AI2" t="s">
        <v>1696</v>
      </c>
      <c r="AJ2" t="s">
        <v>1697</v>
      </c>
      <c r="AK2" t="s">
        <v>1698</v>
      </c>
      <c r="AL2" t="s">
        <v>1699</v>
      </c>
      <c r="AM2" t="s">
        <v>1700</v>
      </c>
      <c r="AN2" s="8" t="s">
        <v>1701</v>
      </c>
      <c r="AO2" t="s">
        <v>1702</v>
      </c>
      <c r="AP2" s="8" t="s">
        <v>1703</v>
      </c>
      <c r="AQ2" t="s">
        <v>1704</v>
      </c>
      <c r="AR2" t="s">
        <v>1705</v>
      </c>
      <c r="AS2" t="s">
        <v>131</v>
      </c>
      <c r="AT2" t="s">
        <v>1706</v>
      </c>
      <c r="AU2" t="s">
        <v>1707</v>
      </c>
      <c r="AV2" t="s">
        <v>121</v>
      </c>
      <c r="AW2" s="1"/>
    </row>
    <row r="3" spans="1:104" ht="16.149999999999999" customHeight="1" x14ac:dyDescent="0.25">
      <c r="AV3" t="s">
        <v>121</v>
      </c>
      <c r="AW3" s="1"/>
    </row>
    <row r="4" spans="1:104" ht="16.149999999999999" customHeight="1" x14ac:dyDescent="0.25">
      <c r="G4" s="6" t="s">
        <v>124</v>
      </c>
      <c r="H4" s="6" t="s">
        <v>130</v>
      </c>
      <c r="I4" s="6" t="s">
        <v>130</v>
      </c>
      <c r="J4" s="6" t="s">
        <v>130</v>
      </c>
      <c r="K4" s="6" t="s">
        <v>130</v>
      </c>
      <c r="L4" s="6" t="s">
        <v>130</v>
      </c>
      <c r="M4" s="6" t="s">
        <v>130</v>
      </c>
      <c r="N4" s="6" t="s">
        <v>130</v>
      </c>
      <c r="O4" s="6" t="s">
        <v>130</v>
      </c>
      <c r="P4" s="6" t="s">
        <v>141</v>
      </c>
      <c r="Q4" s="6" t="s">
        <v>141</v>
      </c>
      <c r="R4" s="12" t="s">
        <v>141</v>
      </c>
      <c r="S4" s="6" t="s">
        <v>141</v>
      </c>
      <c r="T4" s="6" t="s">
        <v>141</v>
      </c>
      <c r="U4" s="6" t="s">
        <v>141</v>
      </c>
      <c r="V4" s="6" t="s">
        <v>141</v>
      </c>
      <c r="W4" s="6" t="s">
        <v>141</v>
      </c>
      <c r="X4" s="6" t="s">
        <v>153</v>
      </c>
      <c r="Y4" s="6" t="s">
        <v>153</v>
      </c>
      <c r="Z4" s="6" t="s">
        <v>153</v>
      </c>
      <c r="AA4" s="12" t="s">
        <v>153</v>
      </c>
      <c r="AB4" s="6" t="s">
        <v>153</v>
      </c>
      <c r="AC4" s="6" t="s">
        <v>153</v>
      </c>
      <c r="AD4" s="6" t="s">
        <v>153</v>
      </c>
      <c r="AE4" s="6" t="s">
        <v>150</v>
      </c>
      <c r="AF4" s="6" t="s">
        <v>150</v>
      </c>
      <c r="AG4" s="6" t="s">
        <v>161</v>
      </c>
      <c r="AH4" s="6" t="s">
        <v>161</v>
      </c>
      <c r="AI4" s="6" t="s">
        <v>161</v>
      </c>
      <c r="AJ4" s="6" t="s">
        <v>167</v>
      </c>
      <c r="AK4" s="6" t="s">
        <v>167</v>
      </c>
      <c r="AL4" s="6" t="s">
        <v>167</v>
      </c>
      <c r="AM4" s="6" t="s">
        <v>174</v>
      </c>
      <c r="AN4" s="12" t="s">
        <v>174</v>
      </c>
      <c r="AO4" s="6" t="s">
        <v>174</v>
      </c>
      <c r="AP4" s="12" t="s">
        <v>174</v>
      </c>
      <c r="AQ4" s="6" t="s">
        <v>174</v>
      </c>
      <c r="AR4" s="6" t="s">
        <v>174</v>
      </c>
      <c r="AS4" s="6" t="s">
        <v>181</v>
      </c>
      <c r="AT4" s="6" t="s">
        <v>181</v>
      </c>
      <c r="AU4" s="6" t="s">
        <v>181</v>
      </c>
      <c r="AV4" t="s">
        <v>121</v>
      </c>
      <c r="AW4" s="1"/>
    </row>
    <row r="5" spans="1:104" ht="16.149999999999999" customHeight="1" x14ac:dyDescent="0.25">
      <c r="G5" t="s">
        <v>64</v>
      </c>
      <c r="H5" t="s">
        <v>65</v>
      </c>
      <c r="I5" t="s">
        <v>65</v>
      </c>
      <c r="J5" t="s">
        <v>65</v>
      </c>
      <c r="K5" t="s">
        <v>65</v>
      </c>
      <c r="L5" t="s">
        <v>65</v>
      </c>
      <c r="M5" t="s">
        <v>65</v>
      </c>
      <c r="N5" t="s">
        <v>65</v>
      </c>
      <c r="O5" t="s">
        <v>65</v>
      </c>
      <c r="P5" t="s">
        <v>66</v>
      </c>
      <c r="Q5" t="s">
        <v>66</v>
      </c>
      <c r="R5" s="8" t="s">
        <v>66</v>
      </c>
      <c r="S5" t="s">
        <v>66</v>
      </c>
      <c r="T5" t="s">
        <v>66</v>
      </c>
      <c r="U5" t="s">
        <v>66</v>
      </c>
      <c r="V5" t="s">
        <v>66</v>
      </c>
      <c r="W5" t="s">
        <v>66</v>
      </c>
      <c r="X5" t="s">
        <v>67</v>
      </c>
      <c r="Y5" t="s">
        <v>67</v>
      </c>
      <c r="Z5" t="s">
        <v>67</v>
      </c>
      <c r="AA5" s="8" t="s">
        <v>67</v>
      </c>
      <c r="AB5" t="s">
        <v>67</v>
      </c>
      <c r="AC5" t="s">
        <v>67</v>
      </c>
      <c r="AD5" t="s">
        <v>67</v>
      </c>
      <c r="AE5" t="s">
        <v>68</v>
      </c>
      <c r="AF5" t="s">
        <v>68</v>
      </c>
      <c r="AG5" t="s">
        <v>69</v>
      </c>
      <c r="AH5" t="s">
        <v>69</v>
      </c>
      <c r="AI5" t="s">
        <v>69</v>
      </c>
      <c r="AJ5" t="s">
        <v>1685</v>
      </c>
      <c r="AK5" t="s">
        <v>1685</v>
      </c>
      <c r="AL5" t="s">
        <v>1685</v>
      </c>
      <c r="AM5" t="s">
        <v>70</v>
      </c>
      <c r="AN5" s="8" t="s">
        <v>70</v>
      </c>
      <c r="AO5" t="s">
        <v>70</v>
      </c>
      <c r="AP5" s="8" t="s">
        <v>70</v>
      </c>
      <c r="AQ5" t="s">
        <v>70</v>
      </c>
      <c r="AR5" t="s">
        <v>70</v>
      </c>
      <c r="AS5" t="s">
        <v>1686</v>
      </c>
      <c r="AT5" t="s">
        <v>1686</v>
      </c>
      <c r="AU5" t="s">
        <v>1686</v>
      </c>
      <c r="AV5" t="s">
        <v>121</v>
      </c>
      <c r="AW5" s="1"/>
    </row>
    <row r="6" spans="1:104" ht="16.149999999999999" customHeight="1" x14ac:dyDescent="0.25">
      <c r="G6" s="2" t="s">
        <v>71</v>
      </c>
      <c r="H6" s="3" t="s">
        <v>72</v>
      </c>
      <c r="I6" s="3" t="s">
        <v>73</v>
      </c>
      <c r="J6" s="3" t="s">
        <v>74</v>
      </c>
      <c r="K6" s="4" t="s">
        <v>75</v>
      </c>
      <c r="L6" s="3" t="s">
        <v>76</v>
      </c>
      <c r="M6" s="4" t="s">
        <v>77</v>
      </c>
      <c r="N6" s="3" t="s">
        <v>78</v>
      </c>
      <c r="O6" s="3" t="s">
        <v>79</v>
      </c>
      <c r="P6" s="2" t="s">
        <v>80</v>
      </c>
      <c r="Q6" s="5" t="s">
        <v>81</v>
      </c>
      <c r="R6" s="13" t="s">
        <v>82</v>
      </c>
      <c r="S6" s="5" t="s">
        <v>83</v>
      </c>
      <c r="T6" s="2" t="s">
        <v>84</v>
      </c>
      <c r="U6" s="5" t="s">
        <v>85</v>
      </c>
      <c r="V6" s="2" t="s">
        <v>86</v>
      </c>
      <c r="W6" s="5" t="s">
        <v>87</v>
      </c>
      <c r="X6" s="5" t="s">
        <v>88</v>
      </c>
      <c r="Y6" s="2" t="s">
        <v>89</v>
      </c>
      <c r="Z6" s="5" t="s">
        <v>90</v>
      </c>
      <c r="AA6" s="13" t="s">
        <v>1553</v>
      </c>
      <c r="AB6" s="5" t="s">
        <v>91</v>
      </c>
      <c r="AC6" s="2" t="s">
        <v>92</v>
      </c>
      <c r="AD6" s="2" t="s">
        <v>93</v>
      </c>
      <c r="AE6" s="2" t="s">
        <v>94</v>
      </c>
      <c r="AF6" s="2" t="s">
        <v>95</v>
      </c>
      <c r="AG6" s="5" t="s">
        <v>96</v>
      </c>
      <c r="AH6" s="2" t="s">
        <v>97</v>
      </c>
      <c r="AI6" s="5" t="s">
        <v>98</v>
      </c>
      <c r="AJ6" s="5" t="s">
        <v>99</v>
      </c>
      <c r="AK6" s="2" t="s">
        <v>100</v>
      </c>
      <c r="AL6" s="5" t="s">
        <v>101</v>
      </c>
      <c r="AM6" s="2" t="s">
        <v>102</v>
      </c>
      <c r="AN6" s="13" t="s">
        <v>103</v>
      </c>
      <c r="AO6" s="5" t="s">
        <v>104</v>
      </c>
      <c r="AP6" s="13" t="s">
        <v>105</v>
      </c>
      <c r="AQ6" s="5" t="s">
        <v>106</v>
      </c>
      <c r="AR6" s="5" t="s">
        <v>107</v>
      </c>
      <c r="AS6" s="2" t="s">
        <v>108</v>
      </c>
      <c r="AT6" s="2" t="s">
        <v>109</v>
      </c>
      <c r="AU6" s="5" t="s">
        <v>1554</v>
      </c>
      <c r="AV6" t="s">
        <v>121</v>
      </c>
      <c r="AW6" s="1"/>
    </row>
    <row r="7" spans="1:104" ht="16.149999999999999" customHeight="1" x14ac:dyDescent="0.25">
      <c r="G7" s="2" t="s">
        <v>2</v>
      </c>
      <c r="H7" s="3" t="s">
        <v>21</v>
      </c>
      <c r="I7" s="3" t="s">
        <v>4</v>
      </c>
      <c r="J7" s="3" t="s">
        <v>6</v>
      </c>
      <c r="K7" s="4" t="s">
        <v>7</v>
      </c>
      <c r="L7" s="3" t="s">
        <v>8</v>
      </c>
      <c r="M7" s="4" t="s">
        <v>9</v>
      </c>
      <c r="N7" s="3" t="s">
        <v>10</v>
      </c>
      <c r="O7" s="3" t="s">
        <v>11</v>
      </c>
      <c r="P7" s="2" t="s">
        <v>32</v>
      </c>
      <c r="Q7" s="5" t="s">
        <v>12</v>
      </c>
      <c r="R7" s="13" t="s">
        <v>13</v>
      </c>
      <c r="S7" s="5" t="s">
        <v>14</v>
      </c>
      <c r="T7" s="2" t="s">
        <v>15</v>
      </c>
      <c r="U7" s="5" t="s">
        <v>20</v>
      </c>
      <c r="V7" s="2" t="s">
        <v>21</v>
      </c>
      <c r="W7" s="5" t="s">
        <v>24</v>
      </c>
      <c r="X7" s="5" t="s">
        <v>31</v>
      </c>
      <c r="Y7" s="2" t="s">
        <v>32</v>
      </c>
      <c r="Z7" s="5" t="s">
        <v>12</v>
      </c>
      <c r="AA7" s="13" t="s">
        <v>1555</v>
      </c>
      <c r="AB7" s="5" t="s">
        <v>33</v>
      </c>
      <c r="AC7" s="2" t="s">
        <v>21</v>
      </c>
      <c r="AD7" s="2" t="s">
        <v>24</v>
      </c>
      <c r="AE7" s="2" t="s">
        <v>15</v>
      </c>
      <c r="AF7" s="2" t="s">
        <v>40</v>
      </c>
      <c r="AG7" s="5" t="s">
        <v>31</v>
      </c>
      <c r="AH7" s="2" t="s">
        <v>15</v>
      </c>
      <c r="AI7" s="5" t="s">
        <v>40</v>
      </c>
      <c r="AJ7" s="5" t="s">
        <v>21</v>
      </c>
      <c r="AK7" s="2" t="s">
        <v>46</v>
      </c>
      <c r="AL7" s="5" t="s">
        <v>40</v>
      </c>
      <c r="AM7" s="2" t="s">
        <v>49</v>
      </c>
      <c r="AN7" s="13" t="s">
        <v>53</v>
      </c>
      <c r="AO7" s="5" t="s">
        <v>54</v>
      </c>
      <c r="AP7" s="13" t="s">
        <v>55</v>
      </c>
      <c r="AQ7" s="5" t="s">
        <v>21</v>
      </c>
      <c r="AR7" s="5" t="s">
        <v>24</v>
      </c>
      <c r="AS7" s="2" t="s">
        <v>60</v>
      </c>
      <c r="AT7" s="2" t="s">
        <v>21</v>
      </c>
      <c r="AU7" s="5" t="s">
        <v>24</v>
      </c>
      <c r="AV7" t="s">
        <v>121</v>
      </c>
      <c r="AW7" s="1"/>
    </row>
    <row r="8" spans="1:104" ht="16.149999999999999" customHeight="1" x14ac:dyDescent="0.25">
      <c r="A8" t="str" cm="1">
        <f t="array" ref="A8">SUBSTITUTE(ADDRESS(1, COLUMN(), 4), "1", "")&amp;MAX((A11:A2000&lt;&gt;"")*ROW(A11:A2000))</f>
        <v>A1151</v>
      </c>
      <c r="G8" t="str" cm="1">
        <f t="array" ref="G8">SUBSTITUTE(ADDRESS(1, COLUMN(), 4), "1", "")&amp;MAX((G11:G2000&lt;&gt;"")*ROW(G11:G2000))</f>
        <v>G15</v>
      </c>
      <c r="H8" t="str" cm="1">
        <f t="array" ref="H8">SUBSTITUTE(ADDRESS(1, COLUMN(), 4), "1", "")&amp;MAX((H11:H2000&lt;&gt;"")*ROW(H11:H2000))</f>
        <v>H26</v>
      </c>
      <c r="I8" t="str" cm="1">
        <f t="array" ref="I8">SUBSTITUTE(ADDRESS(1, COLUMN(), 4), "1", "")&amp;MAX((I11:I2000&lt;&gt;"")*ROW(I11:I2000))</f>
        <v>I23</v>
      </c>
      <c r="J8" t="str" cm="1">
        <f t="array" ref="J8">SUBSTITUTE(ADDRESS(1, COLUMN(), 4), "1", "")&amp;MAX((J11:J2000&lt;&gt;"")*ROW(J11:J2000))</f>
        <v>J13</v>
      </c>
      <c r="K8" t="str" cm="1">
        <f t="array" ref="K8">SUBSTITUTE(ADDRESS(1, COLUMN(), 4), "1", "")&amp;MAX((K11:K2000&lt;&gt;"")*ROW(K11:K2000))</f>
        <v>K259</v>
      </c>
      <c r="L8" t="str" cm="1">
        <f t="array" ref="L8">SUBSTITUTE(ADDRESS(1, COLUMN(), 4), "1", "")&amp;MAX((L11:L2000&lt;&gt;"")*ROW(L11:L2000))</f>
        <v>L1135</v>
      </c>
      <c r="M8" t="str" cm="1">
        <f t="array" ref="M8">SUBSTITUTE(ADDRESS(1, COLUMN(), 4), "1", "")&amp;MAX((M11:M2000&lt;&gt;"")*ROW(M11:M2000))</f>
        <v>M13</v>
      </c>
      <c r="N8" t="str" cm="1">
        <f t="array" ref="N8">SUBSTITUTE(ADDRESS(1, COLUMN(), 4), "1", "")&amp;MAX((N11:N2000&lt;&gt;"")*ROW(N11:N2000))</f>
        <v>N12</v>
      </c>
      <c r="O8" t="str" cm="1">
        <f t="array" ref="O8">SUBSTITUTE(ADDRESS(1, COLUMN(), 4), "1", "")&amp;MAX((O11:O2000&lt;&gt;"")*ROW(O11:O2000))</f>
        <v>O259</v>
      </c>
      <c r="P8" t="str" cm="1">
        <f t="array" ref="P8">SUBSTITUTE(ADDRESS(1, COLUMN(), 4), "1", "")&amp;MAX((P11:P2000&lt;&gt;"")*ROW(P11:P2000))</f>
        <v>P18</v>
      </c>
      <c r="Q8" t="str" cm="1">
        <f t="array" ref="Q8">SUBSTITUTE(ADDRESS(1, COLUMN(), 4), "1", "")&amp;MAX((Q11:Q2000&lt;&gt;"")*ROW(Q11:Q2000))</f>
        <v>Q15</v>
      </c>
      <c r="R8" t="str" cm="1">
        <f t="array" ref="R8">SUBSTITUTE(ADDRESS(1, COLUMN(), 4), "1", "")&amp;MAX((R11:R2000&lt;&gt;"")*ROW(R11:R2000))</f>
        <v>R167</v>
      </c>
      <c r="S8" t="str" cm="1">
        <f t="array" ref="S8">SUBSTITUTE(ADDRESS(1, COLUMN(), 4), "1", "")&amp;MAX((S11:S2000&lt;&gt;"")*ROW(S11:S2000))</f>
        <v>S44</v>
      </c>
      <c r="T8" t="str" cm="1">
        <f t="array" ref="T8">SUBSTITUTE(ADDRESS(1, COLUMN(), 4), "1", "")&amp;MAX((T11:T2000&lt;&gt;"")*ROW(T11:T2000))</f>
        <v>T39</v>
      </c>
      <c r="U8" t="str" cm="1">
        <f t="array" ref="U8">SUBSTITUTE(ADDRESS(1, COLUMN(), 4), "1", "")&amp;MAX((U11:U2000&lt;&gt;"")*ROW(U11:U2000))</f>
        <v>U13</v>
      </c>
      <c r="V8" t="str" cm="1">
        <f t="array" ref="V8">SUBSTITUTE(ADDRESS(1, COLUMN(), 4), "1", "")&amp;MAX((V11:V2000&lt;&gt;"")*ROW(V11:V2000))</f>
        <v>V26</v>
      </c>
      <c r="W8" t="str" cm="1">
        <f t="array" ref="W8">SUBSTITUTE(ADDRESS(1, COLUMN(), 4), "1", "")&amp;MAX((W11:W2000&lt;&gt;"")*ROW(W11:W2000))</f>
        <v>W15</v>
      </c>
      <c r="X8" t="str" cm="1">
        <f t="array" ref="X8">SUBSTITUTE(ADDRESS(1, COLUMN(), 4), "1", "")&amp;MAX((X11:X2000&lt;&gt;"")*ROW(X11:X2000))</f>
        <v>X24</v>
      </c>
      <c r="Y8" t="str" cm="1">
        <f t="array" ref="Y8">SUBSTITUTE(ADDRESS(1, COLUMN(), 4), "1", "")&amp;MAX((Y11:Y2000&lt;&gt;"")*ROW(Y11:Y2000))</f>
        <v>Y18</v>
      </c>
      <c r="Z8" t="str" cm="1">
        <f t="array" ref="Z8">SUBSTITUTE(ADDRESS(1, COLUMN(), 4), "1", "")&amp;MAX((Z11:Z2000&lt;&gt;"")*ROW(Z11:Z2000))</f>
        <v>Z15</v>
      </c>
      <c r="AA8" t="str" cm="1">
        <f t="array" ref="AA8">SUBSTITUTE(ADDRESS(1, COLUMN(), 4), "1", "")&amp;MAX((AA11:AA2000&lt;&gt;"")*ROW(AA11:AA2000))</f>
        <v>AA167</v>
      </c>
      <c r="AB8" t="str" cm="1">
        <f t="array" ref="AB8">SUBSTITUTE(ADDRESS(1, COLUMN(), 4), "1", "")&amp;MAX((AB11:AB2000&lt;&gt;"")*ROW(AB11:AB2000))</f>
        <v>AB44</v>
      </c>
      <c r="AC8" t="str" cm="1">
        <f t="array" ref="AC8">SUBSTITUTE(ADDRESS(1, COLUMN(), 4), "1", "")&amp;MAX((AC11:AC2000&lt;&gt;"")*ROW(AC11:AC2000))</f>
        <v>AC26</v>
      </c>
      <c r="AD8" t="str" cm="1">
        <f t="array" ref="AD8">SUBSTITUTE(ADDRESS(1, COLUMN(), 4), "1", "")&amp;MAX((AD11:AD2000&lt;&gt;"")*ROW(AD11:AD2000))</f>
        <v>AD15</v>
      </c>
      <c r="AE8" t="str" cm="1">
        <f t="array" ref="AE8">SUBSTITUTE(ADDRESS(1, COLUMN(), 4), "1", "")&amp;MAX((AE11:AE2000&lt;&gt;"")*ROW(AE11:AE2000))</f>
        <v>AE39</v>
      </c>
      <c r="AF8" t="str" cm="1">
        <f t="array" ref="AF8">SUBSTITUTE(ADDRESS(1, COLUMN(), 4), "1", "")&amp;MAX((AF11:AF2000&lt;&gt;"")*ROW(AF11:AF2000))</f>
        <v>AF18</v>
      </c>
      <c r="AG8" t="str" cm="1">
        <f t="array" ref="AG8">SUBSTITUTE(ADDRESS(1, COLUMN(), 4), "1", "")&amp;MAX((AG11:AG2000&lt;&gt;"")*ROW(AG11:AG2000))</f>
        <v>AG24</v>
      </c>
      <c r="AH8" t="str" cm="1">
        <f t="array" ref="AH8">SUBSTITUTE(ADDRESS(1, COLUMN(), 4), "1", "")&amp;MAX((AH11:AH2000&lt;&gt;"")*ROW(AH11:AH2000))</f>
        <v>AH39</v>
      </c>
      <c r="AI8" t="str" cm="1">
        <f t="array" ref="AI8">SUBSTITUTE(ADDRESS(1, COLUMN(), 4), "1", "")&amp;MAX((AI11:AI2000&lt;&gt;"")*ROW(AI11:AI2000))</f>
        <v>AI18</v>
      </c>
      <c r="AJ8" t="str" cm="1">
        <f t="array" ref="AJ8">SUBSTITUTE(ADDRESS(1, COLUMN(), 4), "1", "")&amp;MAX((AJ11:AJ2000&lt;&gt;"")*ROW(AJ11:AJ2000))</f>
        <v>AJ13</v>
      </c>
      <c r="AK8" t="str" cm="1">
        <f t="array" ref="AK8">SUBSTITUTE(ADDRESS(1, COLUMN(), 4), "1", "")&amp;MAX((AK11:AK2000&lt;&gt;"")*ROW(AK11:AK2000))</f>
        <v>AK13</v>
      </c>
      <c r="AL8" t="str" cm="1">
        <f t="array" ref="AL8">SUBSTITUTE(ADDRESS(1, COLUMN(), 4), "1", "")&amp;MAX((AL11:AL2000&lt;&gt;"")*ROW(AL11:AL2000))</f>
        <v>AL18</v>
      </c>
      <c r="AM8" t="str" cm="1">
        <f t="array" ref="AM8">SUBSTITUTE(ADDRESS(1, COLUMN(), 4), "1", "")&amp;MAX((AM11:AM2000&lt;&gt;"")*ROW(AM11:AM2000))</f>
        <v>AM15</v>
      </c>
      <c r="AN8" t="str" cm="1">
        <f t="array" ref="AN8">SUBSTITUTE(ADDRESS(1, COLUMN(), 4), "1", "")&amp;MAX((AN11:AN2000&lt;&gt;"")*ROW(AN11:AN2000))</f>
        <v>AN284</v>
      </c>
      <c r="AO8" t="str" cm="1">
        <f t="array" ref="AO8">SUBSTITUTE(ADDRESS(1, COLUMN(), 4), "1", "")&amp;MAX((AO11:AO2000&lt;&gt;"")*ROW(AO11:AO2000))</f>
        <v>AO58</v>
      </c>
      <c r="AP8" t="str" cm="1">
        <f t="array" ref="AP8">SUBSTITUTE(ADDRESS(1, COLUMN(), 4), "1", "")&amp;MAX((AP11:AP2000&lt;&gt;"")*ROW(AP11:AP2000))</f>
        <v>AP88</v>
      </c>
      <c r="AQ8" t="str" cm="1">
        <f t="array" ref="AQ8">SUBSTITUTE(ADDRESS(1, COLUMN(), 4), "1", "")&amp;MAX((AQ11:AQ2000&lt;&gt;"")*ROW(AQ11:AQ2000))</f>
        <v>AQ27</v>
      </c>
      <c r="AR8" t="str" cm="1">
        <f t="array" ref="AR8">SUBSTITUTE(ADDRESS(1, COLUMN(), 4), "1", "")&amp;MAX((AR11:AR2000&lt;&gt;"")*ROW(AR11:AR2000))</f>
        <v>AR15</v>
      </c>
      <c r="AS8" t="str" cm="1">
        <f t="array" ref="AS8">SUBSTITUTE(ADDRESS(1, COLUMN(), 4), "1", "")&amp;MAX((AS11:AS2000&lt;&gt;"")*ROW(AS11:AS2000))</f>
        <v>AS16</v>
      </c>
      <c r="AT8" t="str" cm="1">
        <f t="array" ref="AT8">SUBSTITUTE(ADDRESS(1, COLUMN(), 4), "1", "")&amp;MAX((AT11:AT2000&lt;&gt;"")*ROW(AT11:AT2000))</f>
        <v>AT27</v>
      </c>
      <c r="AU8" t="str" cm="1">
        <f t="array" ref="AU8">SUBSTITUTE(ADDRESS(1, COLUMN(), 4), "1", "")&amp;MAX((AU11:AU2000&lt;&gt;"")*ROW(AU11:AU2000))</f>
        <v>AU15</v>
      </c>
      <c r="AV8" t="s">
        <v>121</v>
      </c>
      <c r="AW8" s="1"/>
    </row>
    <row r="9" spans="1:104" ht="16.149999999999999" customHeight="1" x14ac:dyDescent="0.25">
      <c r="R9" s="20"/>
      <c r="AA9" s="20"/>
      <c r="AN9" s="20"/>
      <c r="AP9" s="20"/>
      <c r="AV9" t="s">
        <v>121</v>
      </c>
      <c r="AW9" s="1"/>
    </row>
    <row r="10" spans="1:104" ht="16.149999999999999" customHeight="1" x14ac:dyDescent="0.25">
      <c r="A10" t="s">
        <v>1570</v>
      </c>
      <c r="B10" t="s">
        <v>1565</v>
      </c>
      <c r="C10" t="s">
        <v>1566</v>
      </c>
      <c r="D10" t="s">
        <v>1567</v>
      </c>
      <c r="E10" t="s">
        <v>1568</v>
      </c>
      <c r="F10" t="s">
        <v>1569</v>
      </c>
      <c r="G10" s="10" t="s">
        <v>1574</v>
      </c>
      <c r="H10" s="10" t="s">
        <v>1575</v>
      </c>
      <c r="I10" s="10" t="s">
        <v>1576</v>
      </c>
      <c r="J10" s="10" t="s">
        <v>1577</v>
      </c>
      <c r="K10" s="10" t="s">
        <v>1578</v>
      </c>
      <c r="L10" s="10" t="s">
        <v>1579</v>
      </c>
      <c r="M10" s="10" t="s">
        <v>1580</v>
      </c>
      <c r="N10" s="10" t="s">
        <v>1581</v>
      </c>
      <c r="O10" s="10" t="s">
        <v>1582</v>
      </c>
      <c r="P10" s="10" t="s">
        <v>1583</v>
      </c>
      <c r="Q10" s="10" t="s">
        <v>1634</v>
      </c>
      <c r="R10" s="23" t="s">
        <v>1635</v>
      </c>
      <c r="S10" s="10" t="s">
        <v>1636</v>
      </c>
      <c r="T10" s="10" t="s">
        <v>1677</v>
      </c>
      <c r="U10" s="10" t="s">
        <v>1678</v>
      </c>
      <c r="V10" s="10" t="s">
        <v>1637</v>
      </c>
      <c r="W10" s="10" t="s">
        <v>1638</v>
      </c>
      <c r="X10" s="10" t="s">
        <v>1639</v>
      </c>
      <c r="Y10" s="10" t="s">
        <v>1640</v>
      </c>
      <c r="Z10" s="10" t="s">
        <v>1641</v>
      </c>
      <c r="AA10" s="23" t="s">
        <v>1642</v>
      </c>
      <c r="AB10" s="10" t="s">
        <v>1643</v>
      </c>
      <c r="AC10" s="10" t="s">
        <v>1644</v>
      </c>
      <c r="AD10" s="10" t="s">
        <v>1645</v>
      </c>
      <c r="AE10" s="10" t="s">
        <v>1646</v>
      </c>
      <c r="AF10" s="10" t="s">
        <v>1647</v>
      </c>
      <c r="AG10" s="10" t="s">
        <v>1648</v>
      </c>
      <c r="AH10" s="10" t="s">
        <v>1649</v>
      </c>
      <c r="AI10" s="10" t="s">
        <v>1650</v>
      </c>
      <c r="AJ10" s="10" t="s">
        <v>1679</v>
      </c>
      <c r="AK10" s="10" t="s">
        <v>1683</v>
      </c>
      <c r="AL10" s="10" t="s">
        <v>1680</v>
      </c>
      <c r="AM10" s="10" t="s">
        <v>1651</v>
      </c>
      <c r="AN10" s="23" t="s">
        <v>1652</v>
      </c>
      <c r="AO10" s="10" t="s">
        <v>1653</v>
      </c>
      <c r="AP10" s="23" t="s">
        <v>1654</v>
      </c>
      <c r="AQ10" s="10" t="s">
        <v>1655</v>
      </c>
      <c r="AR10" s="10" t="s">
        <v>1656</v>
      </c>
      <c r="AS10" s="10" t="s">
        <v>1681</v>
      </c>
      <c r="AT10" s="10" t="s">
        <v>1684</v>
      </c>
      <c r="AU10" s="10" t="s">
        <v>1682</v>
      </c>
      <c r="AV10" t="s">
        <v>1570</v>
      </c>
      <c r="AW10" s="9" t="s">
        <v>1676</v>
      </c>
      <c r="AX10" t="s">
        <v>1573</v>
      </c>
      <c r="CC10" t="s">
        <v>1822</v>
      </c>
      <c r="CE10" t="s">
        <v>1657</v>
      </c>
      <c r="CF10" t="s">
        <v>1658</v>
      </c>
      <c r="CG10" t="s">
        <v>1823</v>
      </c>
      <c r="CH10" t="s">
        <v>1824</v>
      </c>
      <c r="CL10" t="s">
        <v>1931</v>
      </c>
      <c r="CM10" t="s">
        <v>1932</v>
      </c>
      <c r="CN10" t="s">
        <v>1933</v>
      </c>
      <c r="CO10" t="s">
        <v>1657</v>
      </c>
      <c r="CP10" t="s">
        <v>1658</v>
      </c>
      <c r="CQ10" t="s">
        <v>1934</v>
      </c>
      <c r="CR10" t="s">
        <v>1935</v>
      </c>
      <c r="CS10" t="s">
        <v>121</v>
      </c>
      <c r="CY10" t="s">
        <v>2141</v>
      </c>
    </row>
    <row r="11" spans="1:104" ht="16.350000000000001" customHeight="1" x14ac:dyDescent="0.25">
      <c r="A11" s="16"/>
      <c r="B11" s="16"/>
      <c r="C11" s="16"/>
      <c r="D11" s="16"/>
      <c r="E11" s="16"/>
      <c r="F11" s="16"/>
      <c r="G11" s="19"/>
      <c r="H11" s="18" t="s">
        <v>131</v>
      </c>
      <c r="I11" s="18" t="s">
        <v>124</v>
      </c>
      <c r="J11" s="18" t="s">
        <v>145</v>
      </c>
      <c r="K11" s="18" t="s">
        <v>126</v>
      </c>
      <c r="L11" s="19"/>
      <c r="M11" s="19"/>
      <c r="N11" s="21" t="s">
        <v>127</v>
      </c>
      <c r="O11" s="18" t="s">
        <v>126</v>
      </c>
      <c r="P11" s="18" t="s">
        <v>124</v>
      </c>
      <c r="Q11" s="18" t="s">
        <v>124</v>
      </c>
      <c r="R11" s="22">
        <v>105</v>
      </c>
      <c r="S11" s="18" t="s">
        <v>1585</v>
      </c>
      <c r="T11" s="18" t="s">
        <v>128</v>
      </c>
      <c r="U11" s="18" t="s">
        <v>124</v>
      </c>
      <c r="V11" s="18" t="s">
        <v>131</v>
      </c>
      <c r="W11" s="18" t="s">
        <v>124</v>
      </c>
      <c r="X11" s="18" t="s">
        <v>124</v>
      </c>
      <c r="Y11" s="18" t="s">
        <v>124</v>
      </c>
      <c r="Z11" s="18" t="s">
        <v>124</v>
      </c>
      <c r="AA11" s="22">
        <v>105</v>
      </c>
      <c r="AB11" s="18" t="s">
        <v>1585</v>
      </c>
      <c r="AC11" s="18" t="s">
        <v>131</v>
      </c>
      <c r="AD11" s="18" t="s">
        <v>124</v>
      </c>
      <c r="AE11" s="18" t="s">
        <v>128</v>
      </c>
      <c r="AF11" s="18" t="s">
        <v>124</v>
      </c>
      <c r="AG11" s="18" t="s">
        <v>124</v>
      </c>
      <c r="AH11" s="18" t="s">
        <v>128</v>
      </c>
      <c r="AI11" s="18" t="s">
        <v>124</v>
      </c>
      <c r="AJ11" s="18" t="s">
        <v>123</v>
      </c>
      <c r="AK11" s="18" t="s">
        <v>124</v>
      </c>
      <c r="AL11" s="18" t="s">
        <v>124</v>
      </c>
      <c r="AM11" s="21" t="s">
        <v>124</v>
      </c>
      <c r="AN11" s="22">
        <v>0</v>
      </c>
      <c r="AO11" s="19"/>
      <c r="AP11" s="22">
        <v>1</v>
      </c>
      <c r="AQ11" s="19"/>
      <c r="AR11" s="18" t="s">
        <v>124</v>
      </c>
      <c r="AS11" s="18" t="s">
        <v>124</v>
      </c>
      <c r="AT11" s="19"/>
      <c r="AU11" s="18" t="s">
        <v>124</v>
      </c>
      <c r="AV11" s="16"/>
      <c r="AW11" s="17" t="s">
        <v>124</v>
      </c>
      <c r="AX11" s="16" t="s">
        <v>1556</v>
      </c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t="s">
        <v>1732</v>
      </c>
      <c r="CD11" t="s">
        <v>1732</v>
      </c>
      <c r="CE11" t="s">
        <v>1556</v>
      </c>
      <c r="CF11" t="s">
        <v>0</v>
      </c>
      <c r="CG11" t="s">
        <v>1659</v>
      </c>
      <c r="CH11" t="s">
        <v>1825</v>
      </c>
      <c r="CL11">
        <v>1</v>
      </c>
      <c r="CM11" t="s">
        <v>1936</v>
      </c>
      <c r="CN11">
        <v>2</v>
      </c>
      <c r="CO11" t="s">
        <v>1556</v>
      </c>
      <c r="CP11" t="s">
        <v>0</v>
      </c>
      <c r="CQ11" t="s">
        <v>1937</v>
      </c>
      <c r="CR11" t="s">
        <v>1938</v>
      </c>
      <c r="CS11" t="s">
        <v>121</v>
      </c>
      <c r="CV11">
        <v>20</v>
      </c>
      <c r="CW11" t="s">
        <v>2</v>
      </c>
      <c r="CY11" t="s">
        <v>2142</v>
      </c>
      <c r="CZ11" t="s">
        <v>2186</v>
      </c>
    </row>
    <row r="12" spans="1:104" ht="16.350000000000001" customHeight="1" x14ac:dyDescent="0.25">
      <c r="A12" s="16"/>
      <c r="B12" s="16"/>
      <c r="C12" s="16"/>
      <c r="D12" s="16"/>
      <c r="E12" s="16"/>
      <c r="F12" s="16"/>
      <c r="G12" s="18" t="s">
        <v>122</v>
      </c>
      <c r="H12" s="18" t="s">
        <v>129</v>
      </c>
      <c r="I12" s="18" t="s">
        <v>130</v>
      </c>
      <c r="J12" s="18" t="s">
        <v>1632</v>
      </c>
      <c r="K12" s="18" t="s">
        <v>136</v>
      </c>
      <c r="L12" s="18" t="s">
        <v>137</v>
      </c>
      <c r="M12" s="18" t="s">
        <v>124</v>
      </c>
      <c r="N12" s="21" t="s">
        <v>138</v>
      </c>
      <c r="O12" s="18" t="s">
        <v>136</v>
      </c>
      <c r="P12" s="18" t="s">
        <v>130</v>
      </c>
      <c r="Q12" s="18" t="s">
        <v>130</v>
      </c>
      <c r="R12" s="22">
        <v>106</v>
      </c>
      <c r="S12" s="18" t="s">
        <v>113</v>
      </c>
      <c r="T12" s="18" t="s">
        <v>139</v>
      </c>
      <c r="U12" s="18" t="s">
        <v>130</v>
      </c>
      <c r="V12" s="18" t="s">
        <v>129</v>
      </c>
      <c r="W12" s="18" t="s">
        <v>130</v>
      </c>
      <c r="X12" s="18" t="s">
        <v>130</v>
      </c>
      <c r="Y12" s="18" t="s">
        <v>130</v>
      </c>
      <c r="Z12" s="18" t="s">
        <v>130</v>
      </c>
      <c r="AA12" s="22">
        <v>106</v>
      </c>
      <c r="AB12" s="18" t="s">
        <v>113</v>
      </c>
      <c r="AC12" s="18" t="s">
        <v>129</v>
      </c>
      <c r="AD12" s="18" t="s">
        <v>130</v>
      </c>
      <c r="AE12" s="18" t="s">
        <v>139</v>
      </c>
      <c r="AF12" s="18" t="s">
        <v>130</v>
      </c>
      <c r="AG12" s="18" t="s">
        <v>130</v>
      </c>
      <c r="AH12" s="18" t="s">
        <v>139</v>
      </c>
      <c r="AI12" s="18" t="s">
        <v>130</v>
      </c>
      <c r="AJ12" s="18" t="s">
        <v>176</v>
      </c>
      <c r="AK12" s="18" t="s">
        <v>141</v>
      </c>
      <c r="AL12" s="18" t="s">
        <v>130</v>
      </c>
      <c r="AM12" s="21" t="s">
        <v>130</v>
      </c>
      <c r="AN12" s="22">
        <v>1</v>
      </c>
      <c r="AO12" s="18" t="s">
        <v>132</v>
      </c>
      <c r="AP12" s="22">
        <v>10</v>
      </c>
      <c r="AQ12" s="18" t="s">
        <v>131</v>
      </c>
      <c r="AR12" s="18" t="s">
        <v>130</v>
      </c>
      <c r="AS12" s="18" t="s">
        <v>130</v>
      </c>
      <c r="AT12" s="18" t="s">
        <v>131</v>
      </c>
      <c r="AU12" s="18" t="s">
        <v>130</v>
      </c>
      <c r="AV12" s="16"/>
      <c r="AW12" s="17" t="s">
        <v>130</v>
      </c>
      <c r="AX12" s="16" t="s">
        <v>1557</v>
      </c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t="s">
        <v>1732</v>
      </c>
      <c r="CD12" t="s">
        <v>1735</v>
      </c>
      <c r="CE12" t="s">
        <v>1556</v>
      </c>
      <c r="CF12" t="s">
        <v>1</v>
      </c>
      <c r="CG12" t="s">
        <v>1659</v>
      </c>
      <c r="CH12" t="s">
        <v>1826</v>
      </c>
      <c r="CL12">
        <v>2</v>
      </c>
      <c r="CM12" t="s">
        <v>1939</v>
      </c>
      <c r="CN12">
        <v>2</v>
      </c>
      <c r="CO12" t="s">
        <v>1556</v>
      </c>
      <c r="CP12" t="s">
        <v>1</v>
      </c>
      <c r="CQ12" t="s">
        <v>1940</v>
      </c>
      <c r="CR12" t="s">
        <v>1941</v>
      </c>
      <c r="CS12" t="s">
        <v>121</v>
      </c>
      <c r="CV12">
        <v>16</v>
      </c>
      <c r="CW12" t="s">
        <v>21</v>
      </c>
      <c r="CY12" t="s">
        <v>2143</v>
      </c>
      <c r="CZ12" t="s">
        <v>2187</v>
      </c>
    </row>
    <row r="13" spans="1:104" ht="16.350000000000001" customHeight="1" x14ac:dyDescent="0.25">
      <c r="A13" s="16"/>
      <c r="B13" s="16"/>
      <c r="C13" s="16"/>
      <c r="D13" s="16"/>
      <c r="E13" s="16"/>
      <c r="F13" s="16"/>
      <c r="G13" s="18" t="s">
        <v>133</v>
      </c>
      <c r="H13" s="18" t="s">
        <v>140</v>
      </c>
      <c r="I13" s="18" t="s">
        <v>141</v>
      </c>
      <c r="J13" s="18" t="s">
        <v>135</v>
      </c>
      <c r="K13" s="18" t="s">
        <v>146</v>
      </c>
      <c r="L13" s="18" t="s">
        <v>147</v>
      </c>
      <c r="M13" s="18" t="s">
        <v>130</v>
      </c>
      <c r="N13" s="17"/>
      <c r="O13" s="18" t="s">
        <v>146</v>
      </c>
      <c r="P13" s="18" t="s">
        <v>141</v>
      </c>
      <c r="Q13" s="18" t="s">
        <v>141</v>
      </c>
      <c r="R13" s="22">
        <v>107</v>
      </c>
      <c r="S13" s="18" t="s">
        <v>112</v>
      </c>
      <c r="T13" s="18" t="s">
        <v>148</v>
      </c>
      <c r="U13" s="18" t="s">
        <v>141</v>
      </c>
      <c r="V13" s="18" t="s">
        <v>140</v>
      </c>
      <c r="W13" s="18" t="s">
        <v>141</v>
      </c>
      <c r="X13" s="18" t="s">
        <v>141</v>
      </c>
      <c r="Y13" s="18" t="s">
        <v>141</v>
      </c>
      <c r="Z13" s="18" t="s">
        <v>141</v>
      </c>
      <c r="AA13" s="22">
        <v>107</v>
      </c>
      <c r="AB13" s="18" t="s">
        <v>112</v>
      </c>
      <c r="AC13" s="18" t="s">
        <v>140</v>
      </c>
      <c r="AD13" s="18" t="s">
        <v>141</v>
      </c>
      <c r="AE13" s="18" t="s">
        <v>148</v>
      </c>
      <c r="AF13" s="18" t="s">
        <v>141</v>
      </c>
      <c r="AG13" s="18" t="s">
        <v>141</v>
      </c>
      <c r="AH13" s="18" t="s">
        <v>148</v>
      </c>
      <c r="AI13" s="18" t="s">
        <v>141</v>
      </c>
      <c r="AJ13" s="18" t="s">
        <v>134</v>
      </c>
      <c r="AK13" s="18" t="s">
        <v>130</v>
      </c>
      <c r="AL13" s="18" t="s">
        <v>141</v>
      </c>
      <c r="AM13" s="21" t="s">
        <v>141</v>
      </c>
      <c r="AN13" s="22">
        <v>10</v>
      </c>
      <c r="AO13" s="18" t="s">
        <v>142</v>
      </c>
      <c r="AP13" s="22">
        <v>11</v>
      </c>
      <c r="AQ13" s="18" t="s">
        <v>129</v>
      </c>
      <c r="AR13" s="18" t="s">
        <v>141</v>
      </c>
      <c r="AS13" s="18" t="s">
        <v>141</v>
      </c>
      <c r="AT13" s="18" t="s">
        <v>129</v>
      </c>
      <c r="AU13" s="18" t="s">
        <v>141</v>
      </c>
      <c r="AV13" s="16"/>
      <c r="AW13" s="17" t="s">
        <v>141</v>
      </c>
      <c r="AX13" s="16" t="s">
        <v>1558</v>
      </c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t="s">
        <v>1732</v>
      </c>
      <c r="CD13" t="s">
        <v>71</v>
      </c>
      <c r="CE13" t="s">
        <v>1556</v>
      </c>
      <c r="CF13" t="s">
        <v>2</v>
      </c>
      <c r="CG13" t="s">
        <v>1659</v>
      </c>
      <c r="CH13" t="s">
        <v>1827</v>
      </c>
      <c r="CL13">
        <v>3</v>
      </c>
      <c r="CM13" t="s">
        <v>1659</v>
      </c>
      <c r="CN13">
        <v>2</v>
      </c>
      <c r="CO13" t="s">
        <v>1556</v>
      </c>
      <c r="CP13" t="s">
        <v>2</v>
      </c>
      <c r="CQ13" t="s">
        <v>1942</v>
      </c>
      <c r="CR13" t="s">
        <v>1943</v>
      </c>
      <c r="CS13" t="s">
        <v>121</v>
      </c>
      <c r="CV13">
        <v>16</v>
      </c>
      <c r="CW13" t="s">
        <v>4</v>
      </c>
      <c r="CY13" t="s">
        <v>2144</v>
      </c>
      <c r="CZ13" t="s">
        <v>2188</v>
      </c>
    </row>
    <row r="14" spans="1:104" ht="16.350000000000001" customHeight="1" x14ac:dyDescent="0.25">
      <c r="A14" s="16"/>
      <c r="B14" s="16"/>
      <c r="C14" s="16"/>
      <c r="D14" s="16"/>
      <c r="E14" s="16"/>
      <c r="F14" s="16"/>
      <c r="G14" s="18" t="s">
        <v>143</v>
      </c>
      <c r="H14" s="18" t="s">
        <v>149</v>
      </c>
      <c r="I14" s="18" t="s">
        <v>153</v>
      </c>
      <c r="J14" s="17"/>
      <c r="K14" s="18" t="s">
        <v>154</v>
      </c>
      <c r="L14" s="18" t="s">
        <v>155</v>
      </c>
      <c r="M14" s="17"/>
      <c r="N14" s="17"/>
      <c r="O14" s="18" t="s">
        <v>154</v>
      </c>
      <c r="P14" s="18" t="s">
        <v>153</v>
      </c>
      <c r="Q14" s="18" t="s">
        <v>153</v>
      </c>
      <c r="R14" s="22">
        <v>108</v>
      </c>
      <c r="S14" s="18" t="s">
        <v>110</v>
      </c>
      <c r="T14" s="18" t="s">
        <v>118</v>
      </c>
      <c r="U14" s="17"/>
      <c r="V14" s="18" t="s">
        <v>149</v>
      </c>
      <c r="W14" s="18" t="s">
        <v>153</v>
      </c>
      <c r="X14" s="18" t="s">
        <v>153</v>
      </c>
      <c r="Y14" s="18" t="s">
        <v>153</v>
      </c>
      <c r="Z14" s="18" t="s">
        <v>153</v>
      </c>
      <c r="AA14" s="22">
        <v>108</v>
      </c>
      <c r="AB14" s="18" t="s">
        <v>110</v>
      </c>
      <c r="AC14" s="18" t="s">
        <v>149</v>
      </c>
      <c r="AD14" s="18" t="s">
        <v>153</v>
      </c>
      <c r="AE14" s="18" t="s">
        <v>118</v>
      </c>
      <c r="AF14" s="18" t="s">
        <v>153</v>
      </c>
      <c r="AG14" s="18" t="s">
        <v>153</v>
      </c>
      <c r="AH14" s="18" t="s">
        <v>118</v>
      </c>
      <c r="AI14" s="18" t="s">
        <v>153</v>
      </c>
      <c r="AJ14" s="18"/>
      <c r="AK14" s="17"/>
      <c r="AL14" s="18" t="s">
        <v>153</v>
      </c>
      <c r="AM14" s="21" t="s">
        <v>153</v>
      </c>
      <c r="AN14" s="22">
        <v>100</v>
      </c>
      <c r="AO14" s="18" t="s">
        <v>152</v>
      </c>
      <c r="AP14" s="22">
        <v>12</v>
      </c>
      <c r="AQ14" s="18" t="s">
        <v>140</v>
      </c>
      <c r="AR14" s="18" t="s">
        <v>153</v>
      </c>
      <c r="AS14" s="18" t="s">
        <v>153</v>
      </c>
      <c r="AT14" s="18" t="s">
        <v>140</v>
      </c>
      <c r="AU14" s="18" t="s">
        <v>153</v>
      </c>
      <c r="AV14" s="16"/>
      <c r="AW14" s="17" t="s">
        <v>150</v>
      </c>
      <c r="AX14" s="16" t="s">
        <v>1559</v>
      </c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t="s">
        <v>1732</v>
      </c>
      <c r="CD14" t="s">
        <v>1736</v>
      </c>
      <c r="CE14" t="s">
        <v>1556</v>
      </c>
      <c r="CF14" t="s">
        <v>3</v>
      </c>
      <c r="CG14" t="s">
        <v>1659</v>
      </c>
      <c r="CH14" t="s">
        <v>1828</v>
      </c>
      <c r="CL14">
        <v>4</v>
      </c>
      <c r="CM14" t="s">
        <v>1944</v>
      </c>
      <c r="CN14">
        <v>2</v>
      </c>
      <c r="CO14" t="s">
        <v>1556</v>
      </c>
      <c r="CP14" t="s">
        <v>3</v>
      </c>
      <c r="CQ14" t="s">
        <v>1945</v>
      </c>
      <c r="CR14" t="s">
        <v>1946</v>
      </c>
      <c r="CS14" t="s">
        <v>121</v>
      </c>
      <c r="CV14">
        <v>16</v>
      </c>
      <c r="CW14" t="s">
        <v>6</v>
      </c>
      <c r="CY14" t="s">
        <v>2145</v>
      </c>
      <c r="CZ14" t="s">
        <v>2189</v>
      </c>
    </row>
    <row r="15" spans="1:104" ht="16.350000000000001" customHeight="1" x14ac:dyDescent="0.25">
      <c r="A15" s="16"/>
      <c r="B15" s="16"/>
      <c r="C15" s="16"/>
      <c r="D15" s="16"/>
      <c r="E15" s="16"/>
      <c r="F15" s="16"/>
      <c r="G15" s="18" t="s">
        <v>1633</v>
      </c>
      <c r="H15" s="18" t="s">
        <v>123</v>
      </c>
      <c r="I15" s="18" t="s">
        <v>150</v>
      </c>
      <c r="J15" s="17"/>
      <c r="K15" s="18" t="s">
        <v>159</v>
      </c>
      <c r="L15" s="18" t="s">
        <v>160</v>
      </c>
      <c r="M15" s="17"/>
      <c r="N15" s="17"/>
      <c r="O15" s="18" t="s">
        <v>159</v>
      </c>
      <c r="P15" s="18" t="s">
        <v>161</v>
      </c>
      <c r="Q15" s="18" t="s">
        <v>150</v>
      </c>
      <c r="R15" s="22">
        <v>109</v>
      </c>
      <c r="S15" s="18" t="s">
        <v>115</v>
      </c>
      <c r="T15" s="18" t="s">
        <v>162</v>
      </c>
      <c r="U15" s="17"/>
      <c r="V15" s="18" t="s">
        <v>123</v>
      </c>
      <c r="W15" s="18" t="s">
        <v>150</v>
      </c>
      <c r="X15" s="18" t="s">
        <v>150</v>
      </c>
      <c r="Y15" s="18" t="s">
        <v>161</v>
      </c>
      <c r="Z15" s="18" t="s">
        <v>150</v>
      </c>
      <c r="AA15" s="22">
        <v>109</v>
      </c>
      <c r="AB15" s="18" t="s">
        <v>115</v>
      </c>
      <c r="AC15" s="18" t="s">
        <v>123</v>
      </c>
      <c r="AD15" s="18" t="s">
        <v>150</v>
      </c>
      <c r="AE15" s="18" t="s">
        <v>162</v>
      </c>
      <c r="AF15" s="18" t="s">
        <v>150</v>
      </c>
      <c r="AG15" s="18" t="s">
        <v>150</v>
      </c>
      <c r="AH15" s="18" t="s">
        <v>162</v>
      </c>
      <c r="AI15" s="18" t="s">
        <v>150</v>
      </c>
      <c r="AJ15" s="18"/>
      <c r="AK15" s="17"/>
      <c r="AL15" s="18" t="s">
        <v>150</v>
      </c>
      <c r="AM15" s="21" t="s">
        <v>150</v>
      </c>
      <c r="AN15" s="22">
        <v>101</v>
      </c>
      <c r="AO15" s="18" t="s">
        <v>158</v>
      </c>
      <c r="AP15" s="22">
        <v>13</v>
      </c>
      <c r="AQ15" s="18" t="s">
        <v>149</v>
      </c>
      <c r="AR15" s="18" t="s">
        <v>150</v>
      </c>
      <c r="AS15" s="18" t="s">
        <v>150</v>
      </c>
      <c r="AT15" s="18" t="s">
        <v>149</v>
      </c>
      <c r="AU15" s="18" t="s">
        <v>150</v>
      </c>
      <c r="AV15" s="16"/>
      <c r="AW15" s="17" t="s">
        <v>153</v>
      </c>
      <c r="AX15" s="16" t="s">
        <v>1560</v>
      </c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t="s">
        <v>1735</v>
      </c>
      <c r="CD15" t="s">
        <v>72</v>
      </c>
      <c r="CE15" t="s">
        <v>1557</v>
      </c>
      <c r="CF15" t="s">
        <v>21</v>
      </c>
      <c r="CG15" t="s">
        <v>1659</v>
      </c>
      <c r="CH15">
        <v>2</v>
      </c>
      <c r="CL15">
        <v>1</v>
      </c>
      <c r="CM15" t="s">
        <v>1936</v>
      </c>
      <c r="CN15">
        <v>2</v>
      </c>
      <c r="CO15" t="s">
        <v>1557</v>
      </c>
      <c r="CP15" t="s">
        <v>21</v>
      </c>
      <c r="CQ15" t="s">
        <v>1942</v>
      </c>
      <c r="CR15" t="s">
        <v>1947</v>
      </c>
      <c r="CS15" t="s">
        <v>121</v>
      </c>
      <c r="CV15">
        <v>16</v>
      </c>
      <c r="CW15" t="s">
        <v>7</v>
      </c>
      <c r="CY15" t="s">
        <v>2146</v>
      </c>
      <c r="CZ15" t="s">
        <v>2190</v>
      </c>
    </row>
    <row r="16" spans="1:104" ht="16.350000000000001" customHeight="1" x14ac:dyDescent="0.25">
      <c r="A16" s="16"/>
      <c r="B16" s="16"/>
      <c r="C16" s="16"/>
      <c r="D16" s="16"/>
      <c r="E16" s="16"/>
      <c r="F16" s="16"/>
      <c r="G16" s="17"/>
      <c r="H16" s="18" t="s">
        <v>170</v>
      </c>
      <c r="I16" s="18" t="s">
        <v>161</v>
      </c>
      <c r="J16" s="17"/>
      <c r="K16" s="18" t="s">
        <v>165</v>
      </c>
      <c r="L16" s="18" t="s">
        <v>166</v>
      </c>
      <c r="M16" s="17"/>
      <c r="N16" s="17"/>
      <c r="O16" s="18" t="s">
        <v>165</v>
      </c>
      <c r="P16" s="18" t="s">
        <v>167</v>
      </c>
      <c r="Q16" s="17"/>
      <c r="R16" s="22">
        <v>110</v>
      </c>
      <c r="S16" s="18" t="s">
        <v>156</v>
      </c>
      <c r="T16" s="18" t="s">
        <v>168</v>
      </c>
      <c r="U16" s="17"/>
      <c r="V16" s="18" t="s">
        <v>170</v>
      </c>
      <c r="W16" s="17"/>
      <c r="X16" s="18" t="s">
        <v>161</v>
      </c>
      <c r="Y16" s="18" t="s">
        <v>167</v>
      </c>
      <c r="Z16" s="17"/>
      <c r="AA16" s="22">
        <v>110</v>
      </c>
      <c r="AB16" s="18" t="s">
        <v>156</v>
      </c>
      <c r="AC16" s="18" t="s">
        <v>170</v>
      </c>
      <c r="AD16" s="17"/>
      <c r="AE16" s="18" t="s">
        <v>168</v>
      </c>
      <c r="AF16" s="18" t="s">
        <v>161</v>
      </c>
      <c r="AG16" s="18" t="s">
        <v>161</v>
      </c>
      <c r="AH16" s="18" t="s">
        <v>168</v>
      </c>
      <c r="AI16" s="18" t="s">
        <v>161</v>
      </c>
      <c r="AJ16" s="18"/>
      <c r="AK16" s="17"/>
      <c r="AL16" s="18" t="s">
        <v>161</v>
      </c>
      <c r="AM16" s="17"/>
      <c r="AN16" s="22">
        <v>102</v>
      </c>
      <c r="AO16" s="18" t="s">
        <v>164</v>
      </c>
      <c r="AP16" s="22">
        <v>14</v>
      </c>
      <c r="AQ16" s="18" t="s">
        <v>123</v>
      </c>
      <c r="AR16" s="21"/>
      <c r="AS16" s="18" t="s">
        <v>161</v>
      </c>
      <c r="AT16" s="18" t="s">
        <v>123</v>
      </c>
      <c r="AU16" s="21"/>
      <c r="AV16" s="16"/>
      <c r="AW16" s="17" t="s">
        <v>161</v>
      </c>
      <c r="AX16" s="16" t="s">
        <v>1561</v>
      </c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t="s">
        <v>1735</v>
      </c>
      <c r="CD16" t="s">
        <v>1734</v>
      </c>
      <c r="CE16" t="s">
        <v>1557</v>
      </c>
      <c r="CF16" t="s">
        <v>22</v>
      </c>
      <c r="CG16" t="s">
        <v>1659</v>
      </c>
      <c r="CH16" t="s">
        <v>1829</v>
      </c>
      <c r="CL16">
        <v>2</v>
      </c>
      <c r="CM16" t="s">
        <v>1939</v>
      </c>
      <c r="CN16">
        <v>2</v>
      </c>
      <c r="CO16" t="s">
        <v>1557</v>
      </c>
      <c r="CP16" t="s">
        <v>22</v>
      </c>
      <c r="CQ16" t="s">
        <v>1948</v>
      </c>
      <c r="CR16" t="s">
        <v>1949</v>
      </c>
      <c r="CS16" t="s">
        <v>121</v>
      </c>
      <c r="CV16">
        <v>16</v>
      </c>
      <c r="CW16" t="s">
        <v>8</v>
      </c>
      <c r="CY16" t="s">
        <v>2147</v>
      </c>
      <c r="CZ16" t="s">
        <v>2191</v>
      </c>
    </row>
    <row r="17" spans="1:104" ht="16.350000000000001" customHeight="1" x14ac:dyDescent="0.25">
      <c r="A17" s="16"/>
      <c r="B17" s="16"/>
      <c r="C17" s="16"/>
      <c r="D17" s="16"/>
      <c r="E17" s="16"/>
      <c r="F17" s="16"/>
      <c r="G17" s="17"/>
      <c r="H17" s="18" t="s">
        <v>176</v>
      </c>
      <c r="I17" s="18" t="s">
        <v>167</v>
      </c>
      <c r="J17" s="17"/>
      <c r="K17" s="18" t="s">
        <v>172</v>
      </c>
      <c r="L17" s="18" t="s">
        <v>173</v>
      </c>
      <c r="M17" s="17"/>
      <c r="N17" s="17"/>
      <c r="O17" s="18" t="s">
        <v>172</v>
      </c>
      <c r="P17" s="18" t="s">
        <v>174</v>
      </c>
      <c r="Q17" s="17"/>
      <c r="R17" s="22">
        <v>1101</v>
      </c>
      <c r="S17" s="18" t="s">
        <v>119</v>
      </c>
      <c r="T17" s="18" t="s">
        <v>175</v>
      </c>
      <c r="U17" s="17"/>
      <c r="V17" s="18" t="s">
        <v>176</v>
      </c>
      <c r="W17" s="17"/>
      <c r="X17" s="18" t="s">
        <v>167</v>
      </c>
      <c r="Y17" s="18" t="s">
        <v>174</v>
      </c>
      <c r="Z17" s="17"/>
      <c r="AA17" s="22">
        <v>1101</v>
      </c>
      <c r="AB17" s="18" t="s">
        <v>119</v>
      </c>
      <c r="AC17" s="18" t="s">
        <v>176</v>
      </c>
      <c r="AD17" s="17"/>
      <c r="AE17" s="18" t="s">
        <v>175</v>
      </c>
      <c r="AF17" s="18" t="s">
        <v>167</v>
      </c>
      <c r="AG17" s="18" t="s">
        <v>167</v>
      </c>
      <c r="AH17" s="18" t="s">
        <v>175</v>
      </c>
      <c r="AI17" s="18" t="s">
        <v>167</v>
      </c>
      <c r="AJ17" s="18"/>
      <c r="AK17" s="17"/>
      <c r="AL17" s="18" t="s">
        <v>167</v>
      </c>
      <c r="AM17" s="17"/>
      <c r="AN17" s="22">
        <v>103</v>
      </c>
      <c r="AO17" s="18" t="s">
        <v>171</v>
      </c>
      <c r="AP17" s="22">
        <v>15</v>
      </c>
      <c r="AQ17" s="18" t="s">
        <v>170</v>
      </c>
      <c r="AR17" s="21"/>
      <c r="AS17" s="21"/>
      <c r="AT17" s="18" t="s">
        <v>170</v>
      </c>
      <c r="AU17" s="21"/>
      <c r="AV17" s="16"/>
      <c r="AW17" s="17" t="s">
        <v>167</v>
      </c>
      <c r="AX17" s="16" t="s">
        <v>1562</v>
      </c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t="s">
        <v>1735</v>
      </c>
      <c r="CE17" t="s">
        <v>1557</v>
      </c>
      <c r="CF17" t="s">
        <v>1572</v>
      </c>
      <c r="CL17">
        <v>3</v>
      </c>
      <c r="CM17" t="s">
        <v>1659</v>
      </c>
      <c r="CN17">
        <v>2</v>
      </c>
      <c r="CO17" t="s">
        <v>1557</v>
      </c>
      <c r="CP17" t="s">
        <v>1572</v>
      </c>
      <c r="CQ17" t="s">
        <v>121</v>
      </c>
      <c r="CR17" t="s">
        <v>121</v>
      </c>
      <c r="CS17" t="s">
        <v>121</v>
      </c>
      <c r="CV17">
        <v>16</v>
      </c>
      <c r="CW17" t="s">
        <v>9</v>
      </c>
      <c r="CY17" t="s">
        <v>2148</v>
      </c>
      <c r="CZ17" t="s">
        <v>2192</v>
      </c>
    </row>
    <row r="18" spans="1:104" ht="16.350000000000001" customHeight="1" x14ac:dyDescent="0.25">
      <c r="A18" s="16"/>
      <c r="B18" s="16"/>
      <c r="C18" s="16"/>
      <c r="D18" s="16"/>
      <c r="E18" s="16"/>
      <c r="F18" s="16"/>
      <c r="G18" s="17"/>
      <c r="H18" s="18" t="s">
        <v>1817</v>
      </c>
      <c r="I18" s="18" t="s">
        <v>174</v>
      </c>
      <c r="J18" s="17"/>
      <c r="K18" s="18" t="s">
        <v>179</v>
      </c>
      <c r="L18" s="18" t="s">
        <v>180</v>
      </c>
      <c r="M18" s="17"/>
      <c r="N18" s="17"/>
      <c r="O18" s="18" t="s">
        <v>179</v>
      </c>
      <c r="P18" s="18" t="s">
        <v>181</v>
      </c>
      <c r="Q18" s="17"/>
      <c r="R18" s="22">
        <v>1102</v>
      </c>
      <c r="S18" s="18" t="s">
        <v>120</v>
      </c>
      <c r="T18" s="18" t="s">
        <v>182</v>
      </c>
      <c r="U18" s="17"/>
      <c r="V18" s="18" t="s">
        <v>1817</v>
      </c>
      <c r="W18" s="17"/>
      <c r="X18" s="18" t="s">
        <v>174</v>
      </c>
      <c r="Y18" s="18" t="s">
        <v>181</v>
      </c>
      <c r="Z18" s="17"/>
      <c r="AA18" s="22">
        <v>1102</v>
      </c>
      <c r="AB18" s="18" t="s">
        <v>120</v>
      </c>
      <c r="AC18" s="18" t="s">
        <v>1817</v>
      </c>
      <c r="AD18" s="17"/>
      <c r="AE18" s="18" t="s">
        <v>182</v>
      </c>
      <c r="AF18" s="18" t="s">
        <v>174</v>
      </c>
      <c r="AG18" s="18" t="s">
        <v>174</v>
      </c>
      <c r="AH18" s="18" t="s">
        <v>182</v>
      </c>
      <c r="AI18" s="18" t="s">
        <v>174</v>
      </c>
      <c r="AJ18" s="18"/>
      <c r="AK18" s="17"/>
      <c r="AL18" s="18" t="s">
        <v>174</v>
      </c>
      <c r="AM18" s="17"/>
      <c r="AN18" s="22">
        <v>104</v>
      </c>
      <c r="AO18" s="18" t="s">
        <v>178</v>
      </c>
      <c r="AP18" s="22">
        <v>16</v>
      </c>
      <c r="AQ18" s="18" t="s">
        <v>176</v>
      </c>
      <c r="AR18" s="21"/>
      <c r="AS18" s="21"/>
      <c r="AT18" s="18" t="s">
        <v>176</v>
      </c>
      <c r="AU18" s="21"/>
      <c r="AV18" s="16"/>
      <c r="AW18" s="17" t="s">
        <v>174</v>
      </c>
      <c r="AX18" s="16" t="s">
        <v>1563</v>
      </c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t="s">
        <v>1735</v>
      </c>
      <c r="CD18" t="s">
        <v>73</v>
      </c>
      <c r="CE18" t="s">
        <v>1557</v>
      </c>
      <c r="CF18" t="s">
        <v>4</v>
      </c>
      <c r="CG18" t="s">
        <v>1659</v>
      </c>
      <c r="CH18" t="s">
        <v>1830</v>
      </c>
      <c r="CL18">
        <v>4</v>
      </c>
      <c r="CM18" t="s">
        <v>1944</v>
      </c>
      <c r="CN18">
        <v>2</v>
      </c>
      <c r="CO18" t="s">
        <v>1557</v>
      </c>
      <c r="CP18" t="s">
        <v>4</v>
      </c>
      <c r="CQ18" t="s">
        <v>1942</v>
      </c>
      <c r="CR18" t="s">
        <v>1950</v>
      </c>
      <c r="CS18" t="s">
        <v>121</v>
      </c>
      <c r="CV18">
        <v>16</v>
      </c>
      <c r="CW18" t="s">
        <v>10</v>
      </c>
      <c r="CY18" t="s">
        <v>2149</v>
      </c>
      <c r="CZ18" t="s">
        <v>2193</v>
      </c>
    </row>
    <row r="19" spans="1:104" ht="16.350000000000001" customHeight="1" x14ac:dyDescent="0.25">
      <c r="A19" s="16"/>
      <c r="B19" s="16"/>
      <c r="C19" s="16"/>
      <c r="D19" s="16"/>
      <c r="E19" s="16"/>
      <c r="F19" s="16"/>
      <c r="G19" s="17"/>
      <c r="H19" s="18" t="s">
        <v>188</v>
      </c>
      <c r="I19" s="18" t="s">
        <v>181</v>
      </c>
      <c r="J19" s="17"/>
      <c r="K19" s="18" t="s">
        <v>185</v>
      </c>
      <c r="L19" s="18" t="s">
        <v>186</v>
      </c>
      <c r="M19" s="17"/>
      <c r="N19" s="17"/>
      <c r="O19" s="18" t="s">
        <v>185</v>
      </c>
      <c r="P19" s="17"/>
      <c r="Q19" s="17"/>
      <c r="R19" s="22">
        <v>1103</v>
      </c>
      <c r="S19" s="18" t="s">
        <v>114</v>
      </c>
      <c r="T19" s="18" t="s">
        <v>187</v>
      </c>
      <c r="U19" s="17"/>
      <c r="V19" s="18" t="s">
        <v>188</v>
      </c>
      <c r="W19" s="17"/>
      <c r="X19" s="18" t="s">
        <v>181</v>
      </c>
      <c r="Y19" s="17"/>
      <c r="Z19" s="17"/>
      <c r="AA19" s="22">
        <v>1103</v>
      </c>
      <c r="AB19" s="18" t="s">
        <v>114</v>
      </c>
      <c r="AC19" s="18" t="s">
        <v>188</v>
      </c>
      <c r="AD19" s="17"/>
      <c r="AE19" s="18" t="s">
        <v>187</v>
      </c>
      <c r="AF19" s="17"/>
      <c r="AG19" s="18" t="s">
        <v>181</v>
      </c>
      <c r="AH19" s="18" t="s">
        <v>187</v>
      </c>
      <c r="AI19" s="17"/>
      <c r="AJ19" s="18"/>
      <c r="AK19" s="17"/>
      <c r="AL19" s="17"/>
      <c r="AM19" s="17"/>
      <c r="AN19" s="22">
        <v>105</v>
      </c>
      <c r="AO19" s="18" t="s">
        <v>184</v>
      </c>
      <c r="AP19" s="22">
        <v>17</v>
      </c>
      <c r="AQ19" s="18" t="s">
        <v>1817</v>
      </c>
      <c r="AR19" s="17"/>
      <c r="AS19" s="21"/>
      <c r="AT19" s="18" t="s">
        <v>1817</v>
      </c>
      <c r="AU19" s="21"/>
      <c r="AV19" s="16"/>
      <c r="AW19" s="17" t="s">
        <v>181</v>
      </c>
      <c r="AX19" s="16" t="s">
        <v>1564</v>
      </c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t="s">
        <v>1735</v>
      </c>
      <c r="CD19" t="s">
        <v>1733</v>
      </c>
      <c r="CE19" t="s">
        <v>1557</v>
      </c>
      <c r="CF19" t="s">
        <v>5</v>
      </c>
      <c r="CG19" t="s">
        <v>1659</v>
      </c>
      <c r="CH19" t="s">
        <v>1584</v>
      </c>
      <c r="CL19">
        <v>5</v>
      </c>
      <c r="CM19" t="s">
        <v>1951</v>
      </c>
      <c r="CN19">
        <v>2</v>
      </c>
      <c r="CO19" t="s">
        <v>1557</v>
      </c>
      <c r="CP19" t="s">
        <v>5</v>
      </c>
      <c r="CQ19" t="s">
        <v>1952</v>
      </c>
      <c r="CR19" t="s">
        <v>1953</v>
      </c>
      <c r="CS19" t="s">
        <v>121</v>
      </c>
      <c r="CV19">
        <v>16</v>
      </c>
      <c r="CW19" t="s">
        <v>11</v>
      </c>
      <c r="CY19" t="s">
        <v>2150</v>
      </c>
      <c r="CZ19" t="s">
        <v>2194</v>
      </c>
    </row>
    <row r="20" spans="1:104" ht="16.350000000000001" customHeight="1" x14ac:dyDescent="0.25">
      <c r="A20" s="16"/>
      <c r="B20" s="16"/>
      <c r="C20" s="16"/>
      <c r="D20" s="16"/>
      <c r="E20" s="16"/>
      <c r="F20" s="16"/>
      <c r="G20" s="17"/>
      <c r="H20" s="18" t="s">
        <v>157</v>
      </c>
      <c r="I20" s="18" t="s">
        <v>1584</v>
      </c>
      <c r="J20" s="17"/>
      <c r="K20" s="18" t="s">
        <v>190</v>
      </c>
      <c r="L20" s="18" t="s">
        <v>191</v>
      </c>
      <c r="M20" s="17"/>
      <c r="N20" s="17"/>
      <c r="O20" s="18" t="s">
        <v>190</v>
      </c>
      <c r="P20" s="17"/>
      <c r="Q20" s="17"/>
      <c r="R20" s="22">
        <v>1104</v>
      </c>
      <c r="S20" s="18" t="s">
        <v>111</v>
      </c>
      <c r="T20" s="18" t="s">
        <v>192</v>
      </c>
      <c r="U20" s="17"/>
      <c r="V20" s="18" t="s">
        <v>157</v>
      </c>
      <c r="W20" s="17"/>
      <c r="X20" s="18" t="s">
        <v>1584</v>
      </c>
      <c r="Y20" s="17"/>
      <c r="Z20" s="17"/>
      <c r="AA20" s="22">
        <v>1104</v>
      </c>
      <c r="AB20" s="18" t="s">
        <v>111</v>
      </c>
      <c r="AC20" s="18" t="s">
        <v>157</v>
      </c>
      <c r="AD20" s="17"/>
      <c r="AE20" s="18" t="s">
        <v>192</v>
      </c>
      <c r="AF20" s="17"/>
      <c r="AG20" s="18" t="s">
        <v>1584</v>
      </c>
      <c r="AH20" s="18" t="s">
        <v>192</v>
      </c>
      <c r="AI20" s="17"/>
      <c r="AJ20" s="18"/>
      <c r="AK20" s="17"/>
      <c r="AL20" s="17"/>
      <c r="AM20" s="17"/>
      <c r="AN20" s="22">
        <v>106</v>
      </c>
      <c r="AO20" s="18" t="s">
        <v>189</v>
      </c>
      <c r="AP20" s="22">
        <v>18</v>
      </c>
      <c r="AQ20" s="18" t="s">
        <v>188</v>
      </c>
      <c r="AR20" s="17"/>
      <c r="AS20" s="17"/>
      <c r="AT20" s="18" t="s">
        <v>188</v>
      </c>
      <c r="AU20" s="17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t="s">
        <v>1735</v>
      </c>
      <c r="CD20" t="s">
        <v>74</v>
      </c>
      <c r="CE20" t="s">
        <v>1557</v>
      </c>
      <c r="CF20" t="s">
        <v>6</v>
      </c>
      <c r="CG20" t="s">
        <v>1659</v>
      </c>
      <c r="CH20" t="s">
        <v>1831</v>
      </c>
      <c r="CL20">
        <v>6</v>
      </c>
      <c r="CM20" t="s">
        <v>1632</v>
      </c>
      <c r="CN20">
        <v>2</v>
      </c>
      <c r="CO20" t="s">
        <v>1557</v>
      </c>
      <c r="CP20" t="s">
        <v>6</v>
      </c>
      <c r="CQ20" t="s">
        <v>1942</v>
      </c>
      <c r="CR20" t="s">
        <v>1954</v>
      </c>
      <c r="CS20" t="s">
        <v>121</v>
      </c>
      <c r="CV20">
        <v>17</v>
      </c>
      <c r="CW20" t="s">
        <v>32</v>
      </c>
      <c r="CY20" t="s">
        <v>2151</v>
      </c>
      <c r="CZ20" t="s">
        <v>2195</v>
      </c>
    </row>
    <row r="21" spans="1:104" ht="16.350000000000001" customHeight="1" x14ac:dyDescent="0.25">
      <c r="A21" s="16"/>
      <c r="B21" s="16"/>
      <c r="C21" s="16"/>
      <c r="D21" s="16"/>
      <c r="E21" s="16"/>
      <c r="F21" s="16"/>
      <c r="G21" s="17"/>
      <c r="H21" s="18" t="s">
        <v>169</v>
      </c>
      <c r="I21" s="18" t="s">
        <v>1585</v>
      </c>
      <c r="J21" s="17"/>
      <c r="K21" s="18" t="s">
        <v>194</v>
      </c>
      <c r="L21" s="18" t="s">
        <v>195</v>
      </c>
      <c r="M21" s="17"/>
      <c r="N21" s="17"/>
      <c r="O21" s="18" t="s">
        <v>194</v>
      </c>
      <c r="P21" s="17"/>
      <c r="Q21" s="17"/>
      <c r="R21" s="22">
        <v>1105</v>
      </c>
      <c r="S21" s="18" t="s">
        <v>128</v>
      </c>
      <c r="T21" s="18" t="s">
        <v>196</v>
      </c>
      <c r="U21" s="17"/>
      <c r="V21" s="18" t="s">
        <v>169</v>
      </c>
      <c r="W21" s="17"/>
      <c r="X21" s="18" t="s">
        <v>1585</v>
      </c>
      <c r="Y21" s="17"/>
      <c r="Z21" s="17"/>
      <c r="AA21" s="22">
        <v>1105</v>
      </c>
      <c r="AB21" s="18" t="s">
        <v>128</v>
      </c>
      <c r="AC21" s="18" t="s">
        <v>169</v>
      </c>
      <c r="AD21" s="17"/>
      <c r="AE21" s="18" t="s">
        <v>196</v>
      </c>
      <c r="AF21" s="17"/>
      <c r="AG21" s="18" t="s">
        <v>1585</v>
      </c>
      <c r="AH21" s="18" t="s">
        <v>196</v>
      </c>
      <c r="AI21" s="17"/>
      <c r="AJ21" s="18"/>
      <c r="AK21" s="17"/>
      <c r="AL21" s="17"/>
      <c r="AM21" s="17"/>
      <c r="AN21" s="22">
        <v>107</v>
      </c>
      <c r="AO21" s="18" t="s">
        <v>193</v>
      </c>
      <c r="AP21" s="22">
        <v>19</v>
      </c>
      <c r="AQ21" s="18" t="s">
        <v>157</v>
      </c>
      <c r="AR21" s="17"/>
      <c r="AS21" s="17"/>
      <c r="AT21" s="18" t="s">
        <v>157</v>
      </c>
      <c r="AU21" s="17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t="s">
        <v>1735</v>
      </c>
      <c r="CD21" t="s">
        <v>75</v>
      </c>
      <c r="CE21" t="s">
        <v>1557</v>
      </c>
      <c r="CF21" t="s">
        <v>7</v>
      </c>
      <c r="CG21" t="s">
        <v>1659</v>
      </c>
      <c r="CH21" t="s">
        <v>1832</v>
      </c>
      <c r="CL21">
        <v>7</v>
      </c>
      <c r="CM21" t="s">
        <v>1660</v>
      </c>
      <c r="CN21">
        <v>2</v>
      </c>
      <c r="CO21" t="s">
        <v>1557</v>
      </c>
      <c r="CP21" t="s">
        <v>7</v>
      </c>
      <c r="CQ21" t="s">
        <v>1942</v>
      </c>
      <c r="CR21" t="s">
        <v>1955</v>
      </c>
      <c r="CS21" t="s">
        <v>121</v>
      </c>
      <c r="CV21">
        <v>17</v>
      </c>
      <c r="CW21" t="s">
        <v>12</v>
      </c>
      <c r="CY21" t="s">
        <v>2152</v>
      </c>
      <c r="CZ21" t="s">
        <v>2196</v>
      </c>
    </row>
    <row r="22" spans="1:104" ht="16.350000000000001" customHeight="1" x14ac:dyDescent="0.25">
      <c r="A22" s="16"/>
      <c r="B22" s="16"/>
      <c r="C22" s="16"/>
      <c r="D22" s="16"/>
      <c r="E22" s="16"/>
      <c r="F22" s="16"/>
      <c r="G22" s="17"/>
      <c r="H22" s="18" t="s">
        <v>183</v>
      </c>
      <c r="I22" s="18" t="s">
        <v>113</v>
      </c>
      <c r="J22" s="17"/>
      <c r="K22" s="18" t="s">
        <v>198</v>
      </c>
      <c r="L22" s="18" t="s">
        <v>199</v>
      </c>
      <c r="M22" s="17"/>
      <c r="N22" s="17"/>
      <c r="O22" s="18" t="s">
        <v>198</v>
      </c>
      <c r="P22" s="17"/>
      <c r="Q22" s="17"/>
      <c r="R22" s="22">
        <v>120</v>
      </c>
      <c r="S22" s="18" t="s">
        <v>139</v>
      </c>
      <c r="T22" s="18" t="s">
        <v>201</v>
      </c>
      <c r="U22" s="17"/>
      <c r="V22" s="18" t="s">
        <v>183</v>
      </c>
      <c r="W22" s="17"/>
      <c r="X22" s="18" t="s">
        <v>113</v>
      </c>
      <c r="Y22" s="17"/>
      <c r="Z22" s="17"/>
      <c r="AA22" s="22">
        <v>120</v>
      </c>
      <c r="AB22" s="18" t="s">
        <v>139</v>
      </c>
      <c r="AC22" s="18" t="s">
        <v>183</v>
      </c>
      <c r="AD22" s="17"/>
      <c r="AE22" s="18" t="s">
        <v>201</v>
      </c>
      <c r="AF22" s="17"/>
      <c r="AG22" s="18" t="s">
        <v>113</v>
      </c>
      <c r="AH22" s="18" t="s">
        <v>201</v>
      </c>
      <c r="AI22" s="17"/>
      <c r="AJ22" s="18"/>
      <c r="AK22" s="17"/>
      <c r="AL22" s="17"/>
      <c r="AM22" s="17"/>
      <c r="AN22" s="22">
        <v>108</v>
      </c>
      <c r="AO22" s="18" t="s">
        <v>197</v>
      </c>
      <c r="AP22" s="22">
        <v>2</v>
      </c>
      <c r="AQ22" s="18" t="s">
        <v>169</v>
      </c>
      <c r="AR22" s="17"/>
      <c r="AS22" s="17"/>
      <c r="AT22" s="18" t="s">
        <v>169</v>
      </c>
      <c r="AU22" s="17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t="s">
        <v>1735</v>
      </c>
      <c r="CD22" t="s">
        <v>76</v>
      </c>
      <c r="CE22" t="s">
        <v>1557</v>
      </c>
      <c r="CF22" t="s">
        <v>8</v>
      </c>
      <c r="CG22" t="s">
        <v>1659</v>
      </c>
      <c r="CH22" t="s">
        <v>1833</v>
      </c>
      <c r="CL22">
        <v>8</v>
      </c>
      <c r="CM22" t="s">
        <v>125</v>
      </c>
      <c r="CN22">
        <v>2</v>
      </c>
      <c r="CO22" t="s">
        <v>1557</v>
      </c>
      <c r="CP22" t="s">
        <v>8</v>
      </c>
      <c r="CQ22" t="s">
        <v>1942</v>
      </c>
      <c r="CR22" t="s">
        <v>1956</v>
      </c>
      <c r="CS22" t="s">
        <v>121</v>
      </c>
      <c r="CV22">
        <v>17</v>
      </c>
      <c r="CW22" t="s">
        <v>13</v>
      </c>
      <c r="CY22" t="s">
        <v>2153</v>
      </c>
      <c r="CZ22" t="s">
        <v>2197</v>
      </c>
    </row>
    <row r="23" spans="1:104" ht="16.350000000000001" customHeight="1" x14ac:dyDescent="0.25">
      <c r="A23" s="16"/>
      <c r="B23" s="16"/>
      <c r="C23" s="16"/>
      <c r="D23" s="16"/>
      <c r="E23" s="16"/>
      <c r="F23" s="16"/>
      <c r="G23" s="17"/>
      <c r="H23" s="18" t="s">
        <v>134</v>
      </c>
      <c r="I23" s="18" t="s">
        <v>112</v>
      </c>
      <c r="J23" s="17"/>
      <c r="K23" s="18" t="s">
        <v>203</v>
      </c>
      <c r="L23" s="18" t="s">
        <v>204</v>
      </c>
      <c r="M23" s="17"/>
      <c r="N23" s="17"/>
      <c r="O23" s="18" t="s">
        <v>203</v>
      </c>
      <c r="P23" s="17"/>
      <c r="Q23" s="17"/>
      <c r="R23" s="22">
        <v>129</v>
      </c>
      <c r="S23" s="18" t="s">
        <v>148</v>
      </c>
      <c r="T23" s="18" t="s">
        <v>205</v>
      </c>
      <c r="U23" s="16"/>
      <c r="V23" s="18" t="s">
        <v>134</v>
      </c>
      <c r="W23" s="17"/>
      <c r="X23" s="18" t="s">
        <v>112</v>
      </c>
      <c r="Y23" s="17"/>
      <c r="Z23" s="17"/>
      <c r="AA23" s="22">
        <v>129</v>
      </c>
      <c r="AB23" s="18" t="s">
        <v>148</v>
      </c>
      <c r="AC23" s="18" t="s">
        <v>134</v>
      </c>
      <c r="AD23" s="17"/>
      <c r="AE23" s="18" t="s">
        <v>205</v>
      </c>
      <c r="AF23" s="17"/>
      <c r="AG23" s="18" t="s">
        <v>112</v>
      </c>
      <c r="AH23" s="18" t="s">
        <v>205</v>
      </c>
      <c r="AI23" s="17"/>
      <c r="AJ23" s="18"/>
      <c r="AK23" s="17"/>
      <c r="AL23" s="17"/>
      <c r="AM23" s="17"/>
      <c r="AN23" s="22">
        <v>109</v>
      </c>
      <c r="AO23" s="18" t="s">
        <v>202</v>
      </c>
      <c r="AP23" s="22">
        <v>20</v>
      </c>
      <c r="AQ23" s="18" t="s">
        <v>183</v>
      </c>
      <c r="AR23" s="17"/>
      <c r="AS23" s="17"/>
      <c r="AT23" s="18" t="s">
        <v>183</v>
      </c>
      <c r="AU23" s="17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t="s">
        <v>1735</v>
      </c>
      <c r="CD23" t="s">
        <v>77</v>
      </c>
      <c r="CE23" t="s">
        <v>1557</v>
      </c>
      <c r="CF23" t="s">
        <v>9</v>
      </c>
      <c r="CG23" t="s">
        <v>1659</v>
      </c>
      <c r="CH23" t="s">
        <v>1827</v>
      </c>
      <c r="CL23">
        <v>9</v>
      </c>
      <c r="CM23" t="s">
        <v>135</v>
      </c>
      <c r="CN23">
        <v>2</v>
      </c>
      <c r="CO23" t="s">
        <v>1557</v>
      </c>
      <c r="CP23" t="s">
        <v>9</v>
      </c>
      <c r="CQ23" t="s">
        <v>1942</v>
      </c>
      <c r="CR23" t="s">
        <v>1957</v>
      </c>
      <c r="CS23" t="s">
        <v>121</v>
      </c>
      <c r="CV23">
        <v>17</v>
      </c>
      <c r="CW23" t="s">
        <v>14</v>
      </c>
      <c r="CY23" t="s">
        <v>2154</v>
      </c>
      <c r="CZ23" t="s">
        <v>2198</v>
      </c>
    </row>
    <row r="24" spans="1:104" ht="16.350000000000001" customHeight="1" x14ac:dyDescent="0.25">
      <c r="A24" s="16"/>
      <c r="B24" s="16"/>
      <c r="C24" s="16"/>
      <c r="D24" s="16"/>
      <c r="E24" s="16"/>
      <c r="F24" s="16"/>
      <c r="G24" s="17"/>
      <c r="H24" s="18" t="s">
        <v>163</v>
      </c>
      <c r="I24" s="17"/>
      <c r="J24" s="17"/>
      <c r="K24" s="18" t="s">
        <v>207</v>
      </c>
      <c r="L24" s="18" t="s">
        <v>208</v>
      </c>
      <c r="M24" s="17"/>
      <c r="N24" s="17"/>
      <c r="O24" s="18" t="s">
        <v>207</v>
      </c>
      <c r="P24" s="17"/>
      <c r="Q24" s="17"/>
      <c r="R24" s="22">
        <v>130</v>
      </c>
      <c r="S24" s="18" t="s">
        <v>118</v>
      </c>
      <c r="T24" s="18" t="s">
        <v>209</v>
      </c>
      <c r="U24" s="16"/>
      <c r="V24" s="18" t="s">
        <v>163</v>
      </c>
      <c r="W24" s="17"/>
      <c r="X24" s="18" t="s">
        <v>110</v>
      </c>
      <c r="Y24" s="17"/>
      <c r="Z24" s="17"/>
      <c r="AA24" s="22">
        <v>130</v>
      </c>
      <c r="AB24" s="18" t="s">
        <v>118</v>
      </c>
      <c r="AC24" s="18" t="s">
        <v>163</v>
      </c>
      <c r="AD24" s="17"/>
      <c r="AE24" s="18" t="s">
        <v>209</v>
      </c>
      <c r="AF24" s="17"/>
      <c r="AG24" s="18" t="s">
        <v>110</v>
      </c>
      <c r="AH24" s="18" t="s">
        <v>209</v>
      </c>
      <c r="AI24" s="17"/>
      <c r="AJ24" s="18"/>
      <c r="AK24" s="17"/>
      <c r="AL24" s="17"/>
      <c r="AM24" s="17"/>
      <c r="AN24" s="22">
        <v>11</v>
      </c>
      <c r="AO24" s="18" t="s">
        <v>206</v>
      </c>
      <c r="AP24" s="22">
        <v>21</v>
      </c>
      <c r="AQ24" s="18" t="s">
        <v>134</v>
      </c>
      <c r="AR24" s="17"/>
      <c r="AS24" s="17"/>
      <c r="AT24" s="18" t="s">
        <v>134</v>
      </c>
      <c r="AU24" s="17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t="s">
        <v>1735</v>
      </c>
      <c r="CD24" t="s">
        <v>78</v>
      </c>
      <c r="CE24" t="s">
        <v>1557</v>
      </c>
      <c r="CF24" t="s">
        <v>10</v>
      </c>
      <c r="CG24" t="s">
        <v>1659</v>
      </c>
      <c r="CH24" t="s">
        <v>1830</v>
      </c>
      <c r="CL24">
        <v>10</v>
      </c>
      <c r="CM24" t="s">
        <v>1661</v>
      </c>
      <c r="CN24">
        <v>2</v>
      </c>
      <c r="CO24" t="s">
        <v>1557</v>
      </c>
      <c r="CP24" t="s">
        <v>10</v>
      </c>
      <c r="CQ24" t="s">
        <v>1942</v>
      </c>
      <c r="CR24" t="s">
        <v>1958</v>
      </c>
      <c r="CS24" t="s">
        <v>121</v>
      </c>
      <c r="CV24">
        <v>17</v>
      </c>
      <c r="CW24" t="s">
        <v>15</v>
      </c>
      <c r="CY24" t="s">
        <v>2155</v>
      </c>
      <c r="CZ24" t="s">
        <v>2199</v>
      </c>
    </row>
    <row r="25" spans="1:104" ht="16.350000000000001" customHeight="1" x14ac:dyDescent="0.25">
      <c r="A25" s="16"/>
      <c r="B25" s="16"/>
      <c r="C25" s="16"/>
      <c r="D25" s="16"/>
      <c r="E25" s="16"/>
      <c r="F25" s="16"/>
      <c r="G25" s="17"/>
      <c r="H25" s="18" t="s">
        <v>138</v>
      </c>
      <c r="I25" s="17"/>
      <c r="J25" s="17"/>
      <c r="K25" s="18" t="s">
        <v>211</v>
      </c>
      <c r="L25" s="18" t="s">
        <v>212</v>
      </c>
      <c r="M25" s="17"/>
      <c r="N25" s="17"/>
      <c r="O25" s="18" t="s">
        <v>211</v>
      </c>
      <c r="P25" s="17"/>
      <c r="Q25" s="17"/>
      <c r="R25" s="22">
        <v>131</v>
      </c>
      <c r="S25" s="18" t="s">
        <v>162</v>
      </c>
      <c r="T25" s="18" t="s">
        <v>214</v>
      </c>
      <c r="U25" s="16"/>
      <c r="V25" s="18" t="s">
        <v>138</v>
      </c>
      <c r="W25" s="17"/>
      <c r="X25" s="17"/>
      <c r="Y25" s="17"/>
      <c r="Z25" s="17"/>
      <c r="AA25" s="22">
        <v>131</v>
      </c>
      <c r="AB25" s="18" t="s">
        <v>162</v>
      </c>
      <c r="AC25" s="18" t="s">
        <v>138</v>
      </c>
      <c r="AD25" s="17"/>
      <c r="AE25" s="18" t="s">
        <v>214</v>
      </c>
      <c r="AF25" s="17"/>
      <c r="AG25" s="17"/>
      <c r="AH25" s="18" t="s">
        <v>214</v>
      </c>
      <c r="AI25" s="17"/>
      <c r="AJ25" s="18"/>
      <c r="AK25" s="17"/>
      <c r="AL25" s="17"/>
      <c r="AM25" s="17"/>
      <c r="AN25" s="22">
        <v>110</v>
      </c>
      <c r="AO25" s="18" t="s">
        <v>210</v>
      </c>
      <c r="AP25" s="22">
        <v>22</v>
      </c>
      <c r="AQ25" s="18" t="s">
        <v>163</v>
      </c>
      <c r="AR25" s="17"/>
      <c r="AS25" s="17"/>
      <c r="AT25" s="18" t="s">
        <v>163</v>
      </c>
      <c r="AU25" s="17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t="s">
        <v>1735</v>
      </c>
      <c r="CD25" t="s">
        <v>79</v>
      </c>
      <c r="CE25" t="s">
        <v>1557</v>
      </c>
      <c r="CF25" t="s">
        <v>11</v>
      </c>
      <c r="CG25" t="s">
        <v>1659</v>
      </c>
      <c r="CH25" t="s">
        <v>1832</v>
      </c>
      <c r="CL25">
        <v>11</v>
      </c>
      <c r="CM25" t="s">
        <v>1662</v>
      </c>
      <c r="CN25">
        <v>2</v>
      </c>
      <c r="CO25" t="s">
        <v>1557</v>
      </c>
      <c r="CP25" t="s">
        <v>11</v>
      </c>
      <c r="CQ25" t="s">
        <v>1959</v>
      </c>
      <c r="CR25" t="s">
        <v>1955</v>
      </c>
      <c r="CS25" t="s">
        <v>121</v>
      </c>
      <c r="CV25">
        <v>17</v>
      </c>
      <c r="CW25" t="s">
        <v>20</v>
      </c>
      <c r="CY25" t="s">
        <v>2156</v>
      </c>
      <c r="CZ25" t="s">
        <v>2200</v>
      </c>
    </row>
    <row r="26" spans="1:104" ht="16.350000000000001" customHeight="1" x14ac:dyDescent="0.25">
      <c r="A26" s="16"/>
      <c r="B26" s="16"/>
      <c r="C26" s="16"/>
      <c r="D26" s="16"/>
      <c r="E26" s="16"/>
      <c r="F26" s="16"/>
      <c r="G26" s="17"/>
      <c r="H26" s="18" t="s">
        <v>144</v>
      </c>
      <c r="I26" s="17"/>
      <c r="J26" s="17"/>
      <c r="K26" s="18" t="s">
        <v>216</v>
      </c>
      <c r="L26" s="18" t="s">
        <v>217</v>
      </c>
      <c r="M26" s="17"/>
      <c r="N26" s="17"/>
      <c r="O26" s="18" t="s">
        <v>216</v>
      </c>
      <c r="P26" s="17"/>
      <c r="Q26" s="17"/>
      <c r="R26" s="22">
        <v>132</v>
      </c>
      <c r="S26" s="18" t="s">
        <v>168</v>
      </c>
      <c r="T26" s="18" t="s">
        <v>218</v>
      </c>
      <c r="U26" s="16"/>
      <c r="V26" s="18" t="s">
        <v>144</v>
      </c>
      <c r="W26" s="17"/>
      <c r="X26" s="17"/>
      <c r="Y26" s="17"/>
      <c r="Z26" s="17"/>
      <c r="AA26" s="22">
        <v>132</v>
      </c>
      <c r="AB26" s="18" t="s">
        <v>168</v>
      </c>
      <c r="AC26" s="18" t="s">
        <v>144</v>
      </c>
      <c r="AD26" s="17"/>
      <c r="AE26" s="18" t="s">
        <v>218</v>
      </c>
      <c r="AF26" s="17"/>
      <c r="AG26" s="17"/>
      <c r="AH26" s="18" t="s">
        <v>218</v>
      </c>
      <c r="AI26" s="17"/>
      <c r="AJ26" s="18"/>
      <c r="AK26" s="17"/>
      <c r="AL26" s="17"/>
      <c r="AM26" s="17"/>
      <c r="AN26" s="22">
        <v>111</v>
      </c>
      <c r="AO26" s="18" t="s">
        <v>215</v>
      </c>
      <c r="AP26" s="22">
        <v>23</v>
      </c>
      <c r="AQ26" s="18" t="s">
        <v>138</v>
      </c>
      <c r="AR26" s="17"/>
      <c r="AS26" s="17"/>
      <c r="AT26" s="18" t="s">
        <v>138</v>
      </c>
      <c r="AU26" s="17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t="s">
        <v>1735</v>
      </c>
      <c r="CD26" t="s">
        <v>1752</v>
      </c>
      <c r="CE26" t="s">
        <v>1557</v>
      </c>
      <c r="CF26" t="s">
        <v>1708</v>
      </c>
      <c r="CG26" t="s">
        <v>1659</v>
      </c>
      <c r="CH26" t="s">
        <v>1834</v>
      </c>
      <c r="CL26">
        <v>12</v>
      </c>
      <c r="CM26" t="s">
        <v>1663</v>
      </c>
      <c r="CN26">
        <v>2</v>
      </c>
      <c r="CO26" t="s">
        <v>1557</v>
      </c>
      <c r="CP26" t="s">
        <v>1708</v>
      </c>
      <c r="CQ26" t="s">
        <v>1960</v>
      </c>
      <c r="CR26" t="s">
        <v>1961</v>
      </c>
      <c r="CS26" t="s">
        <v>121</v>
      </c>
      <c r="CV26">
        <v>17</v>
      </c>
      <c r="CW26" t="s">
        <v>21</v>
      </c>
      <c r="CY26" t="s">
        <v>2157</v>
      </c>
      <c r="CZ26" t="s">
        <v>2201</v>
      </c>
    </row>
    <row r="27" spans="1:104" ht="16.350000000000001" customHeight="1" x14ac:dyDescent="0.25">
      <c r="A27" s="16"/>
      <c r="B27" s="16"/>
      <c r="C27" s="16"/>
      <c r="D27" s="16"/>
      <c r="E27" s="16"/>
      <c r="F27" s="16"/>
      <c r="G27" s="17"/>
      <c r="H27" s="17"/>
      <c r="I27" s="17"/>
      <c r="J27" s="17"/>
      <c r="K27" s="18" t="s">
        <v>221</v>
      </c>
      <c r="L27" s="18" t="s">
        <v>222</v>
      </c>
      <c r="M27" s="17"/>
      <c r="N27" s="17"/>
      <c r="O27" s="18" t="s">
        <v>221</v>
      </c>
      <c r="P27" s="17"/>
      <c r="Q27" s="17"/>
      <c r="R27" s="22">
        <v>133</v>
      </c>
      <c r="S27" s="18" t="s">
        <v>175</v>
      </c>
      <c r="T27" s="18" t="s">
        <v>223</v>
      </c>
      <c r="U27" s="16"/>
      <c r="V27" s="17"/>
      <c r="W27" s="17"/>
      <c r="X27" s="17"/>
      <c r="Y27" s="17"/>
      <c r="Z27" s="17"/>
      <c r="AA27" s="22">
        <v>133</v>
      </c>
      <c r="AB27" s="18" t="s">
        <v>175</v>
      </c>
      <c r="AC27" s="17"/>
      <c r="AD27" s="17"/>
      <c r="AE27" s="18" t="s">
        <v>223</v>
      </c>
      <c r="AF27" s="17"/>
      <c r="AG27" s="17"/>
      <c r="AH27" s="18" t="s">
        <v>223</v>
      </c>
      <c r="AI27" s="17"/>
      <c r="AJ27" s="17"/>
      <c r="AK27" s="17"/>
      <c r="AL27" s="17"/>
      <c r="AM27" s="17"/>
      <c r="AN27" s="22">
        <v>112</v>
      </c>
      <c r="AO27" s="18" t="s">
        <v>220</v>
      </c>
      <c r="AP27" s="22">
        <v>24</v>
      </c>
      <c r="AQ27" s="18" t="s">
        <v>144</v>
      </c>
      <c r="AR27" s="17"/>
      <c r="AS27" s="17"/>
      <c r="AT27" s="18" t="s">
        <v>144</v>
      </c>
      <c r="AU27" s="17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t="s">
        <v>1735</v>
      </c>
      <c r="CD27" t="s">
        <v>1737</v>
      </c>
      <c r="CE27" t="s">
        <v>1557</v>
      </c>
      <c r="CF27" t="s">
        <v>1552</v>
      </c>
      <c r="CG27" t="s">
        <v>1664</v>
      </c>
      <c r="CH27" t="s">
        <v>1835</v>
      </c>
      <c r="CL27">
        <v>13</v>
      </c>
      <c r="CM27" t="s">
        <v>145</v>
      </c>
      <c r="CN27">
        <v>2</v>
      </c>
      <c r="CO27" t="s">
        <v>1557</v>
      </c>
      <c r="CP27" t="s">
        <v>1552</v>
      </c>
      <c r="CQ27" t="s">
        <v>1962</v>
      </c>
      <c r="CR27" t="s">
        <v>1963</v>
      </c>
      <c r="CS27" t="s">
        <v>121</v>
      </c>
      <c r="CV27">
        <v>17</v>
      </c>
      <c r="CW27" t="s">
        <v>24</v>
      </c>
      <c r="CY27" t="s">
        <v>2158</v>
      </c>
      <c r="CZ27" t="s">
        <v>2202</v>
      </c>
    </row>
    <row r="28" spans="1:104" ht="16.350000000000001" customHeight="1" x14ac:dyDescent="0.25">
      <c r="A28" s="16"/>
      <c r="B28" s="16"/>
      <c r="C28" s="16"/>
      <c r="D28" s="16"/>
      <c r="E28" s="16"/>
      <c r="F28" s="16"/>
      <c r="G28" s="17"/>
      <c r="H28" s="17"/>
      <c r="I28" s="17"/>
      <c r="J28" s="17"/>
      <c r="K28" s="18" t="s">
        <v>225</v>
      </c>
      <c r="L28" s="18" t="s">
        <v>226</v>
      </c>
      <c r="M28" s="17"/>
      <c r="N28" s="17"/>
      <c r="O28" s="18" t="s">
        <v>225</v>
      </c>
      <c r="P28" s="17"/>
      <c r="Q28" s="17"/>
      <c r="R28" s="22">
        <v>134</v>
      </c>
      <c r="S28" s="18" t="s">
        <v>182</v>
      </c>
      <c r="T28" s="18" t="s">
        <v>117</v>
      </c>
      <c r="U28" s="16"/>
      <c r="V28" s="17"/>
      <c r="W28" s="17"/>
      <c r="X28" s="17"/>
      <c r="Y28" s="17"/>
      <c r="Z28" s="17"/>
      <c r="AA28" s="22">
        <v>134</v>
      </c>
      <c r="AB28" s="18" t="s">
        <v>182</v>
      </c>
      <c r="AC28" s="17"/>
      <c r="AD28" s="17"/>
      <c r="AE28" s="18" t="s">
        <v>117</v>
      </c>
      <c r="AF28" s="17"/>
      <c r="AG28" s="17"/>
      <c r="AH28" s="18" t="s">
        <v>117</v>
      </c>
      <c r="AI28" s="17"/>
      <c r="AJ28" s="17"/>
      <c r="AK28" s="17"/>
      <c r="AL28" s="17"/>
      <c r="AM28" s="17"/>
      <c r="AN28" s="22">
        <v>113</v>
      </c>
      <c r="AO28" s="18" t="s">
        <v>224</v>
      </c>
      <c r="AP28" s="22">
        <v>25</v>
      </c>
      <c r="AQ28" s="21"/>
      <c r="AR28" s="17"/>
      <c r="AS28" s="17"/>
      <c r="AT28" s="21"/>
      <c r="AU28" s="17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t="s">
        <v>71</v>
      </c>
      <c r="CE28" t="s">
        <v>1558</v>
      </c>
      <c r="CF28" t="s">
        <v>1572</v>
      </c>
      <c r="CL28">
        <v>1</v>
      </c>
      <c r="CM28" t="s">
        <v>1936</v>
      </c>
      <c r="CN28">
        <v>2</v>
      </c>
      <c r="CO28" t="s">
        <v>1558</v>
      </c>
      <c r="CP28" t="s">
        <v>1572</v>
      </c>
      <c r="CQ28" t="s">
        <v>121</v>
      </c>
      <c r="CR28" t="s">
        <v>121</v>
      </c>
      <c r="CS28" t="s">
        <v>121</v>
      </c>
      <c r="CV28">
        <v>23</v>
      </c>
      <c r="CW28" t="s">
        <v>31</v>
      </c>
      <c r="CY28" t="s">
        <v>2159</v>
      </c>
      <c r="CZ28" t="s">
        <v>2203</v>
      </c>
    </row>
    <row r="29" spans="1:104" ht="16.350000000000001" customHeight="1" x14ac:dyDescent="0.25">
      <c r="A29" s="16"/>
      <c r="B29" s="16"/>
      <c r="C29" s="16"/>
      <c r="D29" s="16"/>
      <c r="E29" s="16"/>
      <c r="F29" s="16"/>
      <c r="G29" s="17"/>
      <c r="H29" s="17"/>
      <c r="I29" s="17"/>
      <c r="J29" s="17"/>
      <c r="K29" s="18" t="s">
        <v>228</v>
      </c>
      <c r="L29" s="18" t="s">
        <v>229</v>
      </c>
      <c r="M29" s="17"/>
      <c r="N29" s="17"/>
      <c r="O29" s="18" t="s">
        <v>228</v>
      </c>
      <c r="P29" s="17"/>
      <c r="Q29" s="17"/>
      <c r="R29" s="22">
        <v>135</v>
      </c>
      <c r="S29" s="18" t="s">
        <v>187</v>
      </c>
      <c r="T29" s="18" t="s">
        <v>230</v>
      </c>
      <c r="U29" s="16"/>
      <c r="V29" s="17"/>
      <c r="W29" s="17"/>
      <c r="X29" s="17"/>
      <c r="Y29" s="17"/>
      <c r="Z29" s="17"/>
      <c r="AA29" s="22">
        <v>135</v>
      </c>
      <c r="AB29" s="18" t="s">
        <v>187</v>
      </c>
      <c r="AC29" s="17"/>
      <c r="AD29" s="17"/>
      <c r="AE29" s="18" t="s">
        <v>230</v>
      </c>
      <c r="AF29" s="17"/>
      <c r="AG29" s="17"/>
      <c r="AH29" s="18" t="s">
        <v>230</v>
      </c>
      <c r="AI29" s="17"/>
      <c r="AJ29" s="17"/>
      <c r="AK29" s="17"/>
      <c r="AL29" s="17"/>
      <c r="AM29" s="17"/>
      <c r="AN29" s="22">
        <v>114</v>
      </c>
      <c r="AO29" s="18" t="s">
        <v>227</v>
      </c>
      <c r="AP29" s="22">
        <v>26</v>
      </c>
      <c r="AQ29" s="21"/>
      <c r="AR29" s="17"/>
      <c r="AS29" s="17"/>
      <c r="AT29" s="21"/>
      <c r="AU29" s="17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t="s">
        <v>71</v>
      </c>
      <c r="CE29" t="s">
        <v>1558</v>
      </c>
      <c r="CF29" t="s">
        <v>1571</v>
      </c>
      <c r="CL29">
        <v>2</v>
      </c>
      <c r="CM29" t="s">
        <v>1939</v>
      </c>
      <c r="CN29">
        <v>2</v>
      </c>
      <c r="CO29" t="s">
        <v>1558</v>
      </c>
      <c r="CP29" t="s">
        <v>1571</v>
      </c>
      <c r="CQ29" t="s">
        <v>1964</v>
      </c>
      <c r="CR29" t="s">
        <v>1965</v>
      </c>
      <c r="CS29" t="s">
        <v>121</v>
      </c>
      <c r="CV29">
        <v>23</v>
      </c>
      <c r="CW29" t="s">
        <v>32</v>
      </c>
      <c r="CY29" t="s">
        <v>2160</v>
      </c>
      <c r="CZ29" t="s">
        <v>2204</v>
      </c>
    </row>
    <row r="30" spans="1:104" ht="16.350000000000001" customHeight="1" x14ac:dyDescent="0.25">
      <c r="A30" s="16"/>
      <c r="B30" s="16"/>
      <c r="C30" s="16"/>
      <c r="D30" s="16"/>
      <c r="E30" s="16"/>
      <c r="F30" s="16"/>
      <c r="G30" s="17"/>
      <c r="H30" s="17"/>
      <c r="I30" s="17"/>
      <c r="J30" s="17"/>
      <c r="K30" s="18" t="s">
        <v>232</v>
      </c>
      <c r="L30" s="18" t="s">
        <v>233</v>
      </c>
      <c r="M30" s="17"/>
      <c r="N30" s="17"/>
      <c r="O30" s="18" t="s">
        <v>232</v>
      </c>
      <c r="P30" s="17"/>
      <c r="Q30" s="17"/>
      <c r="R30" s="22">
        <v>138</v>
      </c>
      <c r="S30" s="18" t="s">
        <v>192</v>
      </c>
      <c r="T30" s="18" t="s">
        <v>234</v>
      </c>
      <c r="U30" s="16"/>
      <c r="V30" s="17"/>
      <c r="W30" s="17"/>
      <c r="X30" s="17"/>
      <c r="Y30" s="17"/>
      <c r="Z30" s="17"/>
      <c r="AA30" s="22">
        <v>138</v>
      </c>
      <c r="AB30" s="18" t="s">
        <v>192</v>
      </c>
      <c r="AC30" s="17"/>
      <c r="AD30" s="17"/>
      <c r="AE30" s="18" t="s">
        <v>234</v>
      </c>
      <c r="AF30" s="17"/>
      <c r="AG30" s="17"/>
      <c r="AH30" s="18" t="s">
        <v>234</v>
      </c>
      <c r="AI30" s="17"/>
      <c r="AJ30" s="17"/>
      <c r="AK30" s="17"/>
      <c r="AL30" s="17"/>
      <c r="AM30" s="17"/>
      <c r="AN30" s="22">
        <v>115</v>
      </c>
      <c r="AO30" s="18" t="s">
        <v>231</v>
      </c>
      <c r="AP30" s="22">
        <v>27</v>
      </c>
      <c r="AQ30" s="21"/>
      <c r="AR30" s="17"/>
      <c r="AS30" s="17"/>
      <c r="AT30" s="21"/>
      <c r="AU30" s="17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t="s">
        <v>71</v>
      </c>
      <c r="CD30" t="s">
        <v>1738</v>
      </c>
      <c r="CE30" t="s">
        <v>1558</v>
      </c>
      <c r="CF30" t="s">
        <v>27</v>
      </c>
      <c r="CG30" t="s">
        <v>1659</v>
      </c>
      <c r="CH30" t="s">
        <v>113</v>
      </c>
      <c r="CL30">
        <v>3</v>
      </c>
      <c r="CM30" t="s">
        <v>1659</v>
      </c>
      <c r="CN30">
        <v>2</v>
      </c>
      <c r="CO30" t="s">
        <v>1558</v>
      </c>
      <c r="CP30" t="s">
        <v>27</v>
      </c>
      <c r="CQ30" t="s">
        <v>1966</v>
      </c>
      <c r="CR30" t="s">
        <v>1967</v>
      </c>
      <c r="CS30" t="s">
        <v>121</v>
      </c>
      <c r="CV30">
        <v>23</v>
      </c>
      <c r="CW30" t="s">
        <v>12</v>
      </c>
      <c r="CY30" t="s">
        <v>2161</v>
      </c>
      <c r="CZ30" t="s">
        <v>2205</v>
      </c>
    </row>
    <row r="31" spans="1:104" ht="16.350000000000001" customHeight="1" x14ac:dyDescent="0.25">
      <c r="A31" s="16"/>
      <c r="B31" s="16"/>
      <c r="C31" s="16"/>
      <c r="D31" s="16"/>
      <c r="E31" s="16"/>
      <c r="F31" s="16"/>
      <c r="G31" s="17"/>
      <c r="H31" s="17"/>
      <c r="I31" s="17"/>
      <c r="J31" s="17"/>
      <c r="K31" s="18" t="s">
        <v>236</v>
      </c>
      <c r="L31" s="18" t="s">
        <v>237</v>
      </c>
      <c r="M31" s="17"/>
      <c r="N31" s="17"/>
      <c r="O31" s="18" t="s">
        <v>236</v>
      </c>
      <c r="P31" s="17"/>
      <c r="Q31" s="17"/>
      <c r="R31" s="22">
        <v>201</v>
      </c>
      <c r="S31" s="18" t="s">
        <v>196</v>
      </c>
      <c r="T31" s="18" t="s">
        <v>238</v>
      </c>
      <c r="U31" s="16"/>
      <c r="V31" s="17"/>
      <c r="W31" s="17"/>
      <c r="X31" s="17"/>
      <c r="Y31" s="17"/>
      <c r="Z31" s="17"/>
      <c r="AA31" s="22">
        <v>201</v>
      </c>
      <c r="AB31" s="18" t="s">
        <v>196</v>
      </c>
      <c r="AC31" s="17"/>
      <c r="AD31" s="17"/>
      <c r="AE31" s="18" t="s">
        <v>238</v>
      </c>
      <c r="AF31" s="17"/>
      <c r="AG31" s="17"/>
      <c r="AH31" s="18" t="s">
        <v>238</v>
      </c>
      <c r="AI31" s="17"/>
      <c r="AJ31" s="17"/>
      <c r="AK31" s="17"/>
      <c r="AL31" s="17"/>
      <c r="AM31" s="17"/>
      <c r="AN31" s="22">
        <v>116</v>
      </c>
      <c r="AO31" s="18" t="s">
        <v>235</v>
      </c>
      <c r="AP31" s="22">
        <v>28</v>
      </c>
      <c r="AQ31" s="21"/>
      <c r="AR31" s="17"/>
      <c r="AS31" s="17"/>
      <c r="AT31" s="21"/>
      <c r="AU31" s="17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t="s">
        <v>71</v>
      </c>
      <c r="CD31" t="s">
        <v>1740</v>
      </c>
      <c r="CE31" t="s">
        <v>1558</v>
      </c>
      <c r="CF31" t="s">
        <v>28</v>
      </c>
      <c r="CG31" t="s">
        <v>1659</v>
      </c>
      <c r="CH31" t="s">
        <v>156</v>
      </c>
      <c r="CL31">
        <v>4</v>
      </c>
      <c r="CM31" t="s">
        <v>1944</v>
      </c>
      <c r="CN31">
        <v>2</v>
      </c>
      <c r="CO31" t="s">
        <v>1558</v>
      </c>
      <c r="CP31" t="s">
        <v>28</v>
      </c>
      <c r="CQ31" t="s">
        <v>1968</v>
      </c>
      <c r="CR31" t="s">
        <v>1969</v>
      </c>
      <c r="CS31" t="s">
        <v>121</v>
      </c>
      <c r="CV31">
        <v>23</v>
      </c>
      <c r="CW31" t="s">
        <v>1555</v>
      </c>
      <c r="CY31" t="s">
        <v>2162</v>
      </c>
      <c r="CZ31" t="s">
        <v>2206</v>
      </c>
    </row>
    <row r="32" spans="1:104" ht="16.350000000000001" customHeight="1" x14ac:dyDescent="0.25">
      <c r="A32" s="16"/>
      <c r="B32" s="16"/>
      <c r="C32" s="16"/>
      <c r="D32" s="16"/>
      <c r="E32" s="16"/>
      <c r="F32" s="16"/>
      <c r="G32" s="17"/>
      <c r="H32" s="17"/>
      <c r="I32" s="17"/>
      <c r="J32" s="17"/>
      <c r="K32" s="18" t="s">
        <v>240</v>
      </c>
      <c r="L32" s="18" t="s">
        <v>241</v>
      </c>
      <c r="M32" s="17"/>
      <c r="N32" s="17"/>
      <c r="O32" s="18" t="s">
        <v>240</v>
      </c>
      <c r="P32" s="17"/>
      <c r="Q32" s="17"/>
      <c r="R32" s="22">
        <v>202</v>
      </c>
      <c r="S32" s="18" t="s">
        <v>201</v>
      </c>
      <c r="T32" s="18" t="s">
        <v>242</v>
      </c>
      <c r="U32" s="16"/>
      <c r="V32" s="17"/>
      <c r="W32" s="17"/>
      <c r="X32" s="17"/>
      <c r="Y32" s="17"/>
      <c r="Z32" s="17"/>
      <c r="AA32" s="22">
        <v>202</v>
      </c>
      <c r="AB32" s="18" t="s">
        <v>201</v>
      </c>
      <c r="AC32" s="17"/>
      <c r="AD32" s="17"/>
      <c r="AE32" s="18" t="s">
        <v>242</v>
      </c>
      <c r="AF32" s="17"/>
      <c r="AG32" s="17"/>
      <c r="AH32" s="18" t="s">
        <v>242</v>
      </c>
      <c r="AI32" s="17"/>
      <c r="AJ32" s="17"/>
      <c r="AK32" s="17"/>
      <c r="AL32" s="17"/>
      <c r="AM32" s="17"/>
      <c r="AN32" s="22">
        <v>117</v>
      </c>
      <c r="AO32" s="18" t="s">
        <v>239</v>
      </c>
      <c r="AP32" s="22">
        <v>29</v>
      </c>
      <c r="AQ32" s="17"/>
      <c r="AR32" s="17"/>
      <c r="AS32" s="17"/>
      <c r="AT32" s="21"/>
      <c r="AU32" s="17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t="s">
        <v>71</v>
      </c>
      <c r="CD32" t="s">
        <v>1741</v>
      </c>
      <c r="CE32" t="s">
        <v>1558</v>
      </c>
      <c r="CF32" t="s">
        <v>43</v>
      </c>
      <c r="CG32" t="s">
        <v>1659</v>
      </c>
      <c r="CH32" t="s">
        <v>1836</v>
      </c>
      <c r="CL32">
        <v>5</v>
      </c>
      <c r="CM32" t="s">
        <v>1951</v>
      </c>
      <c r="CN32">
        <v>2</v>
      </c>
      <c r="CO32" t="s">
        <v>1558</v>
      </c>
      <c r="CP32" t="s">
        <v>43</v>
      </c>
      <c r="CQ32" t="s">
        <v>1970</v>
      </c>
      <c r="CR32" t="s">
        <v>1971</v>
      </c>
      <c r="CS32" t="s">
        <v>121</v>
      </c>
      <c r="CV32">
        <v>23</v>
      </c>
      <c r="CW32" t="s">
        <v>33</v>
      </c>
      <c r="CY32" t="s">
        <v>2163</v>
      </c>
      <c r="CZ32" t="s">
        <v>2207</v>
      </c>
    </row>
    <row r="33" spans="1:104" ht="16.350000000000001" customHeight="1" x14ac:dyDescent="0.25">
      <c r="A33" s="16"/>
      <c r="B33" s="16"/>
      <c r="C33" s="16"/>
      <c r="D33" s="16"/>
      <c r="E33" s="16"/>
      <c r="F33" s="16"/>
      <c r="G33" s="17"/>
      <c r="H33" s="17"/>
      <c r="I33" s="17"/>
      <c r="J33" s="17"/>
      <c r="K33" s="18" t="s">
        <v>244</v>
      </c>
      <c r="L33" s="18" t="s">
        <v>245</v>
      </c>
      <c r="M33" s="17"/>
      <c r="N33" s="17"/>
      <c r="O33" s="18" t="s">
        <v>244</v>
      </c>
      <c r="P33" s="17"/>
      <c r="Q33" s="17"/>
      <c r="R33" s="22">
        <v>203</v>
      </c>
      <c r="S33" s="18" t="s">
        <v>205</v>
      </c>
      <c r="T33" s="18" t="s">
        <v>213</v>
      </c>
      <c r="U33" s="16"/>
      <c r="V33" s="17"/>
      <c r="W33" s="17"/>
      <c r="X33" s="17"/>
      <c r="Y33" s="17"/>
      <c r="Z33" s="17"/>
      <c r="AA33" s="22">
        <v>203</v>
      </c>
      <c r="AB33" s="18" t="s">
        <v>205</v>
      </c>
      <c r="AC33" s="17"/>
      <c r="AD33" s="17"/>
      <c r="AE33" s="18" t="s">
        <v>213</v>
      </c>
      <c r="AF33" s="17"/>
      <c r="AG33" s="17"/>
      <c r="AH33" s="18" t="s">
        <v>213</v>
      </c>
      <c r="AI33" s="17"/>
      <c r="AJ33" s="17"/>
      <c r="AK33" s="17"/>
      <c r="AL33" s="17"/>
      <c r="AM33" s="17"/>
      <c r="AN33" s="22">
        <v>118</v>
      </c>
      <c r="AO33" s="18" t="s">
        <v>243</v>
      </c>
      <c r="AP33" s="22">
        <v>3</v>
      </c>
      <c r="AQ33" s="17"/>
      <c r="AR33" s="17"/>
      <c r="AS33" s="17"/>
      <c r="AT33" s="21"/>
      <c r="AU33" s="17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t="s">
        <v>71</v>
      </c>
      <c r="CD33" t="s">
        <v>1742</v>
      </c>
      <c r="CE33" t="s">
        <v>1558</v>
      </c>
      <c r="CF33" t="s">
        <v>63</v>
      </c>
      <c r="CG33" t="s">
        <v>1659</v>
      </c>
      <c r="CH33" t="s">
        <v>1837</v>
      </c>
      <c r="CL33">
        <v>6</v>
      </c>
      <c r="CM33" t="s">
        <v>1632</v>
      </c>
      <c r="CN33">
        <v>2</v>
      </c>
      <c r="CO33" t="s">
        <v>1558</v>
      </c>
      <c r="CP33" t="s">
        <v>63</v>
      </c>
      <c r="CQ33" t="s">
        <v>1972</v>
      </c>
      <c r="CR33" t="s">
        <v>1973</v>
      </c>
      <c r="CS33" t="s">
        <v>121</v>
      </c>
      <c r="CV33">
        <v>23</v>
      </c>
      <c r="CW33" t="s">
        <v>21</v>
      </c>
      <c r="CY33" t="s">
        <v>2164</v>
      </c>
      <c r="CZ33" t="s">
        <v>2208</v>
      </c>
    </row>
    <row r="34" spans="1:104" ht="16.350000000000001" customHeight="1" x14ac:dyDescent="0.25">
      <c r="A34" s="16"/>
      <c r="B34" s="16"/>
      <c r="C34" s="16"/>
      <c r="D34" s="16"/>
      <c r="E34" s="16"/>
      <c r="F34" s="16"/>
      <c r="G34" s="17"/>
      <c r="H34" s="17"/>
      <c r="I34" s="17"/>
      <c r="J34" s="17"/>
      <c r="K34" s="18" t="s">
        <v>247</v>
      </c>
      <c r="L34" s="18" t="s">
        <v>248</v>
      </c>
      <c r="M34" s="17"/>
      <c r="N34" s="17"/>
      <c r="O34" s="18" t="s">
        <v>247</v>
      </c>
      <c r="P34" s="17"/>
      <c r="Q34" s="17"/>
      <c r="R34" s="22">
        <v>204</v>
      </c>
      <c r="S34" s="18" t="s">
        <v>209</v>
      </c>
      <c r="T34" s="18" t="s">
        <v>116</v>
      </c>
      <c r="U34" s="16"/>
      <c r="V34" s="17"/>
      <c r="W34" s="17"/>
      <c r="X34" s="17"/>
      <c r="Y34" s="17"/>
      <c r="Z34" s="17"/>
      <c r="AA34" s="22">
        <v>204</v>
      </c>
      <c r="AB34" s="18" t="s">
        <v>209</v>
      </c>
      <c r="AC34" s="17"/>
      <c r="AD34" s="17"/>
      <c r="AE34" s="18" t="s">
        <v>116</v>
      </c>
      <c r="AF34" s="17"/>
      <c r="AG34" s="17"/>
      <c r="AH34" s="18" t="s">
        <v>116</v>
      </c>
      <c r="AI34" s="17"/>
      <c r="AJ34" s="17"/>
      <c r="AK34" s="17"/>
      <c r="AL34" s="17"/>
      <c r="AM34" s="17"/>
      <c r="AN34" s="22">
        <v>119</v>
      </c>
      <c r="AO34" s="18" t="s">
        <v>246</v>
      </c>
      <c r="AP34" s="22">
        <v>30</v>
      </c>
      <c r="AQ34" s="17"/>
      <c r="AR34" s="17"/>
      <c r="AS34" s="17"/>
      <c r="AT34" s="21"/>
      <c r="AU34" s="17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t="s">
        <v>71</v>
      </c>
      <c r="CD34" t="s">
        <v>80</v>
      </c>
      <c r="CE34" t="s">
        <v>1558</v>
      </c>
      <c r="CF34" t="s">
        <v>32</v>
      </c>
      <c r="CG34" t="s">
        <v>1659</v>
      </c>
      <c r="CH34" t="s">
        <v>1830</v>
      </c>
      <c r="CL34">
        <v>7</v>
      </c>
      <c r="CM34" t="s">
        <v>1660</v>
      </c>
      <c r="CN34">
        <v>2</v>
      </c>
      <c r="CO34" t="s">
        <v>1558</v>
      </c>
      <c r="CP34" t="s">
        <v>32</v>
      </c>
      <c r="CQ34" t="s">
        <v>1942</v>
      </c>
      <c r="CR34" t="s">
        <v>1974</v>
      </c>
      <c r="CS34" t="s">
        <v>121</v>
      </c>
      <c r="CV34">
        <v>23</v>
      </c>
      <c r="CW34" t="s">
        <v>24</v>
      </c>
      <c r="CY34" t="s">
        <v>2165</v>
      </c>
      <c r="CZ34" t="s">
        <v>2209</v>
      </c>
    </row>
    <row r="35" spans="1:104" ht="16.350000000000001" customHeight="1" x14ac:dyDescent="0.25">
      <c r="A35" s="16"/>
      <c r="B35" s="16"/>
      <c r="C35" s="16"/>
      <c r="D35" s="16"/>
      <c r="E35" s="16"/>
      <c r="F35" s="16"/>
      <c r="G35" s="17"/>
      <c r="H35" s="17"/>
      <c r="I35" s="17"/>
      <c r="J35" s="17"/>
      <c r="K35" s="18" t="s">
        <v>1589</v>
      </c>
      <c r="L35" s="18" t="s">
        <v>250</v>
      </c>
      <c r="M35" s="17"/>
      <c r="N35" s="17"/>
      <c r="O35" s="18" t="s">
        <v>1589</v>
      </c>
      <c r="P35" s="17"/>
      <c r="Q35" s="17"/>
      <c r="R35" s="22">
        <v>205</v>
      </c>
      <c r="S35" s="18" t="s">
        <v>214</v>
      </c>
      <c r="T35" s="18" t="s">
        <v>251</v>
      </c>
      <c r="U35" s="16"/>
      <c r="V35" s="17"/>
      <c r="W35" s="17"/>
      <c r="X35" s="17"/>
      <c r="Y35" s="17"/>
      <c r="Z35" s="17"/>
      <c r="AA35" s="22">
        <v>205</v>
      </c>
      <c r="AB35" s="18" t="s">
        <v>214</v>
      </c>
      <c r="AC35" s="17"/>
      <c r="AD35" s="17"/>
      <c r="AE35" s="18" t="s">
        <v>251</v>
      </c>
      <c r="AF35" s="17"/>
      <c r="AG35" s="17"/>
      <c r="AH35" s="18" t="s">
        <v>251</v>
      </c>
      <c r="AI35" s="17"/>
      <c r="AJ35" s="17"/>
      <c r="AK35" s="17"/>
      <c r="AL35" s="17"/>
      <c r="AM35" s="17"/>
      <c r="AN35" s="22">
        <v>12</v>
      </c>
      <c r="AO35" s="18" t="s">
        <v>249</v>
      </c>
      <c r="AP35" s="22">
        <v>31</v>
      </c>
      <c r="AQ35" s="17"/>
      <c r="AR35" s="17"/>
      <c r="AS35" s="17"/>
      <c r="AT35" s="21"/>
      <c r="AU35" s="17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t="s">
        <v>71</v>
      </c>
      <c r="CD35" t="s">
        <v>81</v>
      </c>
      <c r="CE35" t="s">
        <v>1558</v>
      </c>
      <c r="CF35" t="s">
        <v>12</v>
      </c>
      <c r="CG35" t="s">
        <v>1659</v>
      </c>
      <c r="CH35" t="s">
        <v>1830</v>
      </c>
      <c r="CL35">
        <v>8</v>
      </c>
      <c r="CM35" t="s">
        <v>125</v>
      </c>
      <c r="CN35">
        <v>2</v>
      </c>
      <c r="CO35" t="s">
        <v>1558</v>
      </c>
      <c r="CP35" t="s">
        <v>12</v>
      </c>
      <c r="CQ35" t="s">
        <v>1942</v>
      </c>
      <c r="CR35" t="s">
        <v>1975</v>
      </c>
      <c r="CS35" t="s">
        <v>121</v>
      </c>
      <c r="CV35">
        <v>18</v>
      </c>
      <c r="CW35" t="s">
        <v>15</v>
      </c>
      <c r="CY35" t="s">
        <v>2166</v>
      </c>
      <c r="CZ35" t="s">
        <v>2210</v>
      </c>
    </row>
    <row r="36" spans="1:104" ht="16.350000000000001" customHeight="1" x14ac:dyDescent="0.25">
      <c r="A36" s="16"/>
      <c r="B36" s="16"/>
      <c r="C36" s="16"/>
      <c r="D36" s="16"/>
      <c r="E36" s="16"/>
      <c r="F36" s="16"/>
      <c r="G36" s="17"/>
      <c r="H36" s="17"/>
      <c r="I36" s="17"/>
      <c r="J36" s="17"/>
      <c r="K36" s="18" t="s">
        <v>253</v>
      </c>
      <c r="L36" s="18" t="s">
        <v>254</v>
      </c>
      <c r="M36" s="17"/>
      <c r="N36" s="17"/>
      <c r="O36" s="18" t="s">
        <v>253</v>
      </c>
      <c r="P36" s="17"/>
      <c r="Q36" s="17"/>
      <c r="R36" s="22">
        <v>207</v>
      </c>
      <c r="S36" s="18" t="s">
        <v>218</v>
      </c>
      <c r="T36" s="18" t="s">
        <v>255</v>
      </c>
      <c r="U36" s="16"/>
      <c r="V36" s="17"/>
      <c r="W36" s="17"/>
      <c r="X36" s="17"/>
      <c r="Y36" s="17"/>
      <c r="Z36" s="17"/>
      <c r="AA36" s="22">
        <v>207</v>
      </c>
      <c r="AB36" s="18" t="s">
        <v>218</v>
      </c>
      <c r="AC36" s="17"/>
      <c r="AD36" s="17"/>
      <c r="AE36" s="18" t="s">
        <v>255</v>
      </c>
      <c r="AF36" s="17"/>
      <c r="AG36" s="17"/>
      <c r="AH36" s="18" t="s">
        <v>255</v>
      </c>
      <c r="AI36" s="17"/>
      <c r="AJ36" s="17"/>
      <c r="AK36" s="17"/>
      <c r="AL36" s="17"/>
      <c r="AM36" s="17"/>
      <c r="AN36" s="22">
        <v>120</v>
      </c>
      <c r="AO36" s="18" t="s">
        <v>252</v>
      </c>
      <c r="AP36" s="22">
        <v>32</v>
      </c>
      <c r="AQ36" s="17"/>
      <c r="AR36" s="17"/>
      <c r="AS36" s="17"/>
      <c r="AT36" s="21"/>
      <c r="AU36" s="17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t="s">
        <v>71</v>
      </c>
      <c r="CD36" t="s">
        <v>82</v>
      </c>
      <c r="CE36" t="s">
        <v>1558</v>
      </c>
      <c r="CF36" t="s">
        <v>13</v>
      </c>
      <c r="CG36" t="s">
        <v>1664</v>
      </c>
      <c r="CH36" t="s">
        <v>1838</v>
      </c>
      <c r="CL36">
        <v>9</v>
      </c>
      <c r="CM36" t="s">
        <v>135</v>
      </c>
      <c r="CN36">
        <v>2</v>
      </c>
      <c r="CO36" t="s">
        <v>1558</v>
      </c>
      <c r="CP36" t="s">
        <v>13</v>
      </c>
      <c r="CQ36" t="s">
        <v>1976</v>
      </c>
      <c r="CR36" t="s">
        <v>1977</v>
      </c>
      <c r="CS36" t="s">
        <v>121</v>
      </c>
      <c r="CV36">
        <v>18</v>
      </c>
      <c r="CW36" t="s">
        <v>40</v>
      </c>
      <c r="CY36" t="s">
        <v>2167</v>
      </c>
      <c r="CZ36" t="s">
        <v>2211</v>
      </c>
    </row>
    <row r="37" spans="1:104" ht="16.350000000000001" customHeight="1" x14ac:dyDescent="0.25">
      <c r="A37" s="16"/>
      <c r="B37" s="16"/>
      <c r="C37" s="16"/>
      <c r="D37" s="16"/>
      <c r="E37" s="16"/>
      <c r="F37" s="16"/>
      <c r="G37" s="17"/>
      <c r="H37" s="17"/>
      <c r="I37" s="17"/>
      <c r="J37" s="17"/>
      <c r="K37" s="18" t="s">
        <v>257</v>
      </c>
      <c r="L37" s="18" t="s">
        <v>258</v>
      </c>
      <c r="M37" s="17"/>
      <c r="N37" s="17"/>
      <c r="O37" s="18" t="s">
        <v>257</v>
      </c>
      <c r="P37" s="17"/>
      <c r="Q37" s="17"/>
      <c r="R37" s="22">
        <v>208</v>
      </c>
      <c r="S37" s="18" t="s">
        <v>223</v>
      </c>
      <c r="T37" s="18" t="s">
        <v>259</v>
      </c>
      <c r="U37" s="16"/>
      <c r="V37" s="17"/>
      <c r="W37" s="17"/>
      <c r="X37" s="17"/>
      <c r="Y37" s="17"/>
      <c r="Z37" s="17"/>
      <c r="AA37" s="22">
        <v>208</v>
      </c>
      <c r="AB37" s="18" t="s">
        <v>223</v>
      </c>
      <c r="AC37" s="17"/>
      <c r="AD37" s="17"/>
      <c r="AE37" s="18" t="s">
        <v>259</v>
      </c>
      <c r="AF37" s="17"/>
      <c r="AG37" s="17"/>
      <c r="AH37" s="18" t="s">
        <v>259</v>
      </c>
      <c r="AI37" s="17"/>
      <c r="AJ37" s="17"/>
      <c r="AK37" s="17"/>
      <c r="AL37" s="17"/>
      <c r="AM37" s="17"/>
      <c r="AN37" s="22">
        <v>121</v>
      </c>
      <c r="AO37" s="18" t="s">
        <v>256</v>
      </c>
      <c r="AP37" s="22">
        <v>33</v>
      </c>
      <c r="AQ37" s="17"/>
      <c r="AR37" s="17"/>
      <c r="AS37" s="17"/>
      <c r="AT37" s="21"/>
      <c r="AU37" s="17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t="s">
        <v>71</v>
      </c>
      <c r="CD37" t="s">
        <v>83</v>
      </c>
      <c r="CE37" t="s">
        <v>1558</v>
      </c>
      <c r="CF37" t="s">
        <v>33</v>
      </c>
      <c r="CG37" t="s">
        <v>1659</v>
      </c>
      <c r="CH37" t="s">
        <v>1830</v>
      </c>
      <c r="CL37">
        <v>10</v>
      </c>
      <c r="CM37" t="s">
        <v>1661</v>
      </c>
      <c r="CN37">
        <v>2</v>
      </c>
      <c r="CO37" t="s">
        <v>1558</v>
      </c>
      <c r="CP37" t="s">
        <v>33</v>
      </c>
      <c r="CQ37" t="s">
        <v>1942</v>
      </c>
      <c r="CR37" t="s">
        <v>1978</v>
      </c>
      <c r="CS37" t="s">
        <v>121</v>
      </c>
      <c r="CV37">
        <v>24</v>
      </c>
      <c r="CW37" t="s">
        <v>31</v>
      </c>
      <c r="CY37" t="s">
        <v>2168</v>
      </c>
      <c r="CZ37" t="s">
        <v>2212</v>
      </c>
    </row>
    <row r="38" spans="1:104" ht="16.350000000000001" customHeight="1" x14ac:dyDescent="0.25">
      <c r="A38" s="16"/>
      <c r="B38" s="16"/>
      <c r="C38" s="16"/>
      <c r="D38" s="16"/>
      <c r="E38" s="16"/>
      <c r="F38" s="16"/>
      <c r="G38" s="17"/>
      <c r="H38" s="17"/>
      <c r="I38" s="17"/>
      <c r="J38" s="17"/>
      <c r="K38" s="18" t="s">
        <v>261</v>
      </c>
      <c r="L38" s="18" t="s">
        <v>262</v>
      </c>
      <c r="M38" s="17"/>
      <c r="N38" s="17"/>
      <c r="O38" s="18" t="s">
        <v>261</v>
      </c>
      <c r="P38" s="17"/>
      <c r="Q38" s="17"/>
      <c r="R38" s="22">
        <v>209</v>
      </c>
      <c r="S38" s="18" t="s">
        <v>117</v>
      </c>
      <c r="T38" s="18" t="s">
        <v>263</v>
      </c>
      <c r="U38" s="16"/>
      <c r="V38" s="17"/>
      <c r="W38" s="17"/>
      <c r="X38" s="17"/>
      <c r="Y38" s="17"/>
      <c r="Z38" s="17"/>
      <c r="AA38" s="22">
        <v>209</v>
      </c>
      <c r="AB38" s="18" t="s">
        <v>117</v>
      </c>
      <c r="AC38" s="17"/>
      <c r="AD38" s="17"/>
      <c r="AE38" s="18" t="s">
        <v>263</v>
      </c>
      <c r="AF38" s="17"/>
      <c r="AG38" s="17"/>
      <c r="AH38" s="18" t="s">
        <v>263</v>
      </c>
      <c r="AI38" s="17"/>
      <c r="AJ38" s="17"/>
      <c r="AK38" s="17"/>
      <c r="AL38" s="17"/>
      <c r="AM38" s="17"/>
      <c r="AN38" s="22">
        <v>122</v>
      </c>
      <c r="AO38" s="18" t="s">
        <v>260</v>
      </c>
      <c r="AP38" s="22">
        <v>34</v>
      </c>
      <c r="AQ38" s="17"/>
      <c r="AR38" s="17"/>
      <c r="AS38" s="17"/>
      <c r="AT38" s="17"/>
      <c r="AU38" s="17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t="s">
        <v>71</v>
      </c>
      <c r="CD38" t="s">
        <v>84</v>
      </c>
      <c r="CE38" t="s">
        <v>1558</v>
      </c>
      <c r="CF38" t="s">
        <v>15</v>
      </c>
      <c r="CG38" t="s">
        <v>1659</v>
      </c>
      <c r="CH38" t="s">
        <v>1830</v>
      </c>
      <c r="CL38">
        <v>11</v>
      </c>
      <c r="CM38" t="s">
        <v>1662</v>
      </c>
      <c r="CN38">
        <v>2</v>
      </c>
      <c r="CO38" t="s">
        <v>1558</v>
      </c>
      <c r="CP38" t="s">
        <v>15</v>
      </c>
      <c r="CQ38" t="s">
        <v>1942</v>
      </c>
      <c r="CR38" t="s">
        <v>1979</v>
      </c>
      <c r="CS38" t="s">
        <v>121</v>
      </c>
      <c r="CV38">
        <v>24</v>
      </c>
      <c r="CW38" t="s">
        <v>15</v>
      </c>
      <c r="CY38" t="s">
        <v>2169</v>
      </c>
      <c r="CZ38" t="s">
        <v>2213</v>
      </c>
    </row>
    <row r="39" spans="1:104" ht="16.350000000000001" customHeight="1" x14ac:dyDescent="0.25">
      <c r="A39" s="16"/>
      <c r="B39" s="16"/>
      <c r="C39" s="16"/>
      <c r="D39" s="16"/>
      <c r="E39" s="16"/>
      <c r="F39" s="16"/>
      <c r="G39" s="17"/>
      <c r="H39" s="17"/>
      <c r="I39" s="17"/>
      <c r="J39" s="17"/>
      <c r="K39" s="18" t="s">
        <v>265</v>
      </c>
      <c r="L39" s="18" t="s">
        <v>266</v>
      </c>
      <c r="M39" s="17"/>
      <c r="N39" s="17"/>
      <c r="O39" s="18" t="s">
        <v>265</v>
      </c>
      <c r="P39" s="17"/>
      <c r="Q39" s="17"/>
      <c r="R39" s="22">
        <v>210</v>
      </c>
      <c r="S39" s="18" t="s">
        <v>230</v>
      </c>
      <c r="T39" s="18" t="s">
        <v>1819</v>
      </c>
      <c r="U39" s="16"/>
      <c r="V39" s="17"/>
      <c r="W39" s="17"/>
      <c r="X39" s="17"/>
      <c r="Y39" s="17"/>
      <c r="Z39" s="17"/>
      <c r="AA39" s="22">
        <v>210</v>
      </c>
      <c r="AB39" s="18" t="s">
        <v>230</v>
      </c>
      <c r="AC39" s="17"/>
      <c r="AD39" s="17"/>
      <c r="AE39" s="18" t="s">
        <v>1819</v>
      </c>
      <c r="AF39" s="17"/>
      <c r="AG39" s="17"/>
      <c r="AH39" s="18" t="s">
        <v>1819</v>
      </c>
      <c r="AI39" s="17"/>
      <c r="AJ39" s="17"/>
      <c r="AK39" s="17"/>
      <c r="AL39" s="17"/>
      <c r="AM39" s="17"/>
      <c r="AN39" s="22">
        <v>123</v>
      </c>
      <c r="AO39" s="18" t="s">
        <v>264</v>
      </c>
      <c r="AP39" s="22">
        <v>35</v>
      </c>
      <c r="AQ39" s="17"/>
      <c r="AR39" s="17"/>
      <c r="AS39" s="17"/>
      <c r="AT39" s="17"/>
      <c r="AU39" s="17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t="s">
        <v>71</v>
      </c>
      <c r="CD39" t="s">
        <v>1743</v>
      </c>
      <c r="CE39" t="s">
        <v>1558</v>
      </c>
      <c r="CF39" t="s">
        <v>16</v>
      </c>
      <c r="CG39" t="s">
        <v>1659</v>
      </c>
      <c r="CH39" t="s">
        <v>1839</v>
      </c>
      <c r="CL39">
        <v>12</v>
      </c>
      <c r="CM39" t="s">
        <v>1663</v>
      </c>
      <c r="CN39">
        <v>2</v>
      </c>
      <c r="CO39" t="s">
        <v>1558</v>
      </c>
      <c r="CP39" t="s">
        <v>16</v>
      </c>
      <c r="CQ39" t="s">
        <v>1980</v>
      </c>
      <c r="CR39" t="s">
        <v>1981</v>
      </c>
      <c r="CS39" t="s">
        <v>121</v>
      </c>
      <c r="CV39">
        <v>24</v>
      </c>
      <c r="CW39" t="s">
        <v>40</v>
      </c>
      <c r="CY39" t="s">
        <v>2170</v>
      </c>
      <c r="CZ39" t="s">
        <v>2214</v>
      </c>
    </row>
    <row r="40" spans="1:104" ht="16.350000000000001" customHeight="1" x14ac:dyDescent="0.25">
      <c r="A40" s="16"/>
      <c r="B40" s="16"/>
      <c r="C40" s="16"/>
      <c r="D40" s="16"/>
      <c r="E40" s="16"/>
      <c r="F40" s="16"/>
      <c r="G40" s="17"/>
      <c r="H40" s="17"/>
      <c r="I40" s="17"/>
      <c r="J40" s="17"/>
      <c r="K40" s="18" t="s">
        <v>1590</v>
      </c>
      <c r="L40" s="18" t="s">
        <v>269</v>
      </c>
      <c r="M40" s="17"/>
      <c r="N40" s="17"/>
      <c r="O40" s="18" t="s">
        <v>1590</v>
      </c>
      <c r="P40" s="17"/>
      <c r="Q40" s="17"/>
      <c r="R40" s="22">
        <v>211</v>
      </c>
      <c r="S40" s="18" t="s">
        <v>234</v>
      </c>
      <c r="T40" s="16"/>
      <c r="U40" s="16"/>
      <c r="V40" s="17"/>
      <c r="W40" s="17"/>
      <c r="X40" s="17"/>
      <c r="Y40" s="17"/>
      <c r="Z40" s="17"/>
      <c r="AA40" s="22">
        <v>211</v>
      </c>
      <c r="AB40" s="18" t="s">
        <v>234</v>
      </c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22">
        <v>124</v>
      </c>
      <c r="AO40" s="18" t="s">
        <v>268</v>
      </c>
      <c r="AP40" s="22">
        <v>36</v>
      </c>
      <c r="AQ40" s="17"/>
      <c r="AR40" s="17"/>
      <c r="AS40" s="17"/>
      <c r="AT40" s="17"/>
      <c r="AU40" s="17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t="s">
        <v>71</v>
      </c>
      <c r="CD40" t="s">
        <v>1840</v>
      </c>
      <c r="CE40" t="s">
        <v>1558</v>
      </c>
      <c r="CF40" t="s">
        <v>1709</v>
      </c>
      <c r="CG40" t="s">
        <v>1659</v>
      </c>
      <c r="CH40" t="s">
        <v>1841</v>
      </c>
      <c r="CL40">
        <v>13</v>
      </c>
      <c r="CM40" t="s">
        <v>145</v>
      </c>
      <c r="CN40">
        <v>2</v>
      </c>
      <c r="CO40" t="s">
        <v>1558</v>
      </c>
      <c r="CP40" t="s">
        <v>1709</v>
      </c>
      <c r="CQ40" t="s">
        <v>1982</v>
      </c>
      <c r="CR40" t="s">
        <v>1983</v>
      </c>
      <c r="CS40" t="s">
        <v>121</v>
      </c>
      <c r="CV40">
        <v>23</v>
      </c>
      <c r="CW40" t="s">
        <v>21</v>
      </c>
      <c r="CY40" t="s">
        <v>2171</v>
      </c>
      <c r="CZ40" t="s">
        <v>2215</v>
      </c>
    </row>
    <row r="41" spans="1:104" ht="16.350000000000001" customHeight="1" x14ac:dyDescent="0.25">
      <c r="A41" s="16"/>
      <c r="B41" s="16"/>
      <c r="C41" s="16"/>
      <c r="D41" s="16"/>
      <c r="E41" s="16"/>
      <c r="F41" s="16"/>
      <c r="G41" s="17"/>
      <c r="H41" s="17"/>
      <c r="I41" s="17"/>
      <c r="J41" s="17"/>
      <c r="K41" s="18" t="s">
        <v>151</v>
      </c>
      <c r="L41" s="18" t="s">
        <v>271</v>
      </c>
      <c r="M41" s="17"/>
      <c r="N41" s="17"/>
      <c r="O41" s="18" t="s">
        <v>151</v>
      </c>
      <c r="P41" s="17"/>
      <c r="Q41" s="17"/>
      <c r="R41" s="22">
        <v>212</v>
      </c>
      <c r="S41" s="18" t="s">
        <v>238</v>
      </c>
      <c r="T41" s="16"/>
      <c r="U41" s="16"/>
      <c r="V41" s="17"/>
      <c r="W41" s="17"/>
      <c r="X41" s="17"/>
      <c r="Y41" s="17"/>
      <c r="Z41" s="17"/>
      <c r="AA41" s="22">
        <v>212</v>
      </c>
      <c r="AB41" s="18" t="s">
        <v>238</v>
      </c>
      <c r="AC41" s="17"/>
      <c r="AD41" s="17"/>
      <c r="AE41" s="16"/>
      <c r="AF41" s="16"/>
      <c r="AG41" s="17"/>
      <c r="AH41" s="16"/>
      <c r="AI41" s="16"/>
      <c r="AJ41" s="17"/>
      <c r="AK41" s="17"/>
      <c r="AL41" s="17"/>
      <c r="AM41" s="17"/>
      <c r="AN41" s="22">
        <v>125</v>
      </c>
      <c r="AO41" s="18" t="s">
        <v>270</v>
      </c>
      <c r="AP41" s="22">
        <v>37</v>
      </c>
      <c r="AQ41" s="17"/>
      <c r="AR41" s="17"/>
      <c r="AS41" s="17"/>
      <c r="AT41" s="17"/>
      <c r="AU41" s="17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t="s">
        <v>71</v>
      </c>
      <c r="CD41" t="s">
        <v>1842</v>
      </c>
      <c r="CE41" t="s">
        <v>1558</v>
      </c>
      <c r="CF41" t="s">
        <v>1710</v>
      </c>
      <c r="CG41" t="s">
        <v>1659</v>
      </c>
      <c r="CH41" t="s">
        <v>1843</v>
      </c>
      <c r="CL41">
        <v>14</v>
      </c>
      <c r="CM41" t="s">
        <v>1664</v>
      </c>
      <c r="CN41">
        <v>2</v>
      </c>
      <c r="CO41" t="s">
        <v>1558</v>
      </c>
      <c r="CP41" t="s">
        <v>1710</v>
      </c>
      <c r="CQ41" t="s">
        <v>1984</v>
      </c>
      <c r="CR41" t="s">
        <v>1985</v>
      </c>
      <c r="CS41" t="s">
        <v>121</v>
      </c>
      <c r="CV41">
        <v>23</v>
      </c>
      <c r="CW41" t="s">
        <v>46</v>
      </c>
      <c r="CY41" t="s">
        <v>2172</v>
      </c>
      <c r="CZ41" t="s">
        <v>2216</v>
      </c>
    </row>
    <row r="42" spans="1:104" ht="16.350000000000001" customHeight="1" x14ac:dyDescent="0.25">
      <c r="A42" s="16"/>
      <c r="B42" s="16"/>
      <c r="C42" s="16"/>
      <c r="D42" s="16"/>
      <c r="E42" s="16"/>
      <c r="F42" s="16"/>
      <c r="G42" s="17"/>
      <c r="H42" s="17"/>
      <c r="I42" s="17"/>
      <c r="J42" s="17"/>
      <c r="K42" s="18" t="s">
        <v>177</v>
      </c>
      <c r="L42" s="18" t="s">
        <v>273</v>
      </c>
      <c r="M42" s="17"/>
      <c r="N42" s="17"/>
      <c r="O42" s="18" t="s">
        <v>177</v>
      </c>
      <c r="P42" s="17"/>
      <c r="Q42" s="17"/>
      <c r="R42" s="22">
        <v>213</v>
      </c>
      <c r="S42" s="18" t="s">
        <v>242</v>
      </c>
      <c r="T42" s="16"/>
      <c r="U42" s="16"/>
      <c r="V42" s="17"/>
      <c r="W42" s="17"/>
      <c r="X42" s="17"/>
      <c r="Y42" s="17"/>
      <c r="Z42" s="17"/>
      <c r="AA42" s="22">
        <v>213</v>
      </c>
      <c r="AB42" s="18" t="s">
        <v>242</v>
      </c>
      <c r="AC42" s="17"/>
      <c r="AD42" s="17"/>
      <c r="AE42" s="16"/>
      <c r="AF42" s="16"/>
      <c r="AG42" s="17"/>
      <c r="AH42" s="16"/>
      <c r="AI42" s="16"/>
      <c r="AJ42" s="17"/>
      <c r="AK42" s="17"/>
      <c r="AL42" s="17"/>
      <c r="AM42" s="17"/>
      <c r="AN42" s="22">
        <v>126</v>
      </c>
      <c r="AO42" s="18" t="s">
        <v>272</v>
      </c>
      <c r="AP42" s="22">
        <v>38</v>
      </c>
      <c r="AQ42" s="17"/>
      <c r="AR42" s="17"/>
      <c r="AS42" s="17"/>
      <c r="AT42" s="17"/>
      <c r="AU42" s="17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t="s">
        <v>71</v>
      </c>
      <c r="CD42" t="s">
        <v>1744</v>
      </c>
      <c r="CE42" t="s">
        <v>1558</v>
      </c>
      <c r="CF42" t="s">
        <v>17</v>
      </c>
      <c r="CG42" t="s">
        <v>1659</v>
      </c>
      <c r="CH42" t="s">
        <v>1844</v>
      </c>
      <c r="CL42">
        <v>15</v>
      </c>
      <c r="CM42" t="s">
        <v>1665</v>
      </c>
      <c r="CN42">
        <v>2</v>
      </c>
      <c r="CO42" t="s">
        <v>1558</v>
      </c>
      <c r="CP42" t="s">
        <v>17</v>
      </c>
      <c r="CQ42" t="s">
        <v>1980</v>
      </c>
      <c r="CR42" t="s">
        <v>1986</v>
      </c>
      <c r="CS42" t="s">
        <v>121</v>
      </c>
      <c r="CV42">
        <v>23</v>
      </c>
      <c r="CW42" t="s">
        <v>40</v>
      </c>
      <c r="CY42" t="s">
        <v>2173</v>
      </c>
      <c r="CZ42" t="s">
        <v>2217</v>
      </c>
    </row>
    <row r="43" spans="1:104" ht="16.350000000000001" customHeight="1" x14ac:dyDescent="0.25">
      <c r="A43" s="16"/>
      <c r="B43" s="16"/>
      <c r="C43" s="16"/>
      <c r="D43" s="16"/>
      <c r="E43" s="16"/>
      <c r="F43" s="16"/>
      <c r="G43" s="17"/>
      <c r="H43" s="17"/>
      <c r="I43" s="17"/>
      <c r="J43" s="17"/>
      <c r="K43" s="18" t="s">
        <v>1588</v>
      </c>
      <c r="L43" s="18" t="s">
        <v>275</v>
      </c>
      <c r="M43" s="17"/>
      <c r="N43" s="17"/>
      <c r="O43" s="18" t="s">
        <v>1588</v>
      </c>
      <c r="P43" s="17"/>
      <c r="Q43" s="17"/>
      <c r="R43" s="22">
        <v>214</v>
      </c>
      <c r="S43" s="18" t="s">
        <v>213</v>
      </c>
      <c r="T43" s="16"/>
      <c r="U43" s="16"/>
      <c r="V43" s="17"/>
      <c r="W43" s="17"/>
      <c r="X43" s="17"/>
      <c r="Y43" s="17"/>
      <c r="Z43" s="17"/>
      <c r="AA43" s="22">
        <v>214</v>
      </c>
      <c r="AB43" s="18" t="s">
        <v>213</v>
      </c>
      <c r="AC43" s="17"/>
      <c r="AD43" s="17"/>
      <c r="AE43" s="16"/>
      <c r="AF43" s="16"/>
      <c r="AG43" s="17"/>
      <c r="AH43" s="16"/>
      <c r="AI43" s="16"/>
      <c r="AJ43" s="17"/>
      <c r="AK43" s="17"/>
      <c r="AL43" s="17"/>
      <c r="AM43" s="17"/>
      <c r="AN43" s="22">
        <v>127</v>
      </c>
      <c r="AO43" s="18" t="s">
        <v>274</v>
      </c>
      <c r="AP43" s="22">
        <v>39</v>
      </c>
      <c r="AQ43" s="17"/>
      <c r="AR43" s="17"/>
      <c r="AS43" s="17"/>
      <c r="AT43" s="17"/>
      <c r="AU43" s="17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t="s">
        <v>71</v>
      </c>
      <c r="CD43" t="s">
        <v>1845</v>
      </c>
      <c r="CE43" t="s">
        <v>1558</v>
      </c>
      <c r="CF43" t="s">
        <v>1711</v>
      </c>
      <c r="CG43" t="s">
        <v>1659</v>
      </c>
      <c r="CH43" t="s">
        <v>1841</v>
      </c>
      <c r="CL43">
        <v>16</v>
      </c>
      <c r="CM43" t="s">
        <v>1666</v>
      </c>
      <c r="CN43">
        <v>2</v>
      </c>
      <c r="CO43" t="s">
        <v>1558</v>
      </c>
      <c r="CP43" t="s">
        <v>1711</v>
      </c>
      <c r="CQ43" t="s">
        <v>1987</v>
      </c>
      <c r="CR43" t="s">
        <v>1988</v>
      </c>
      <c r="CS43" t="s">
        <v>121</v>
      </c>
      <c r="CV43">
        <v>21</v>
      </c>
      <c r="CW43" t="s">
        <v>49</v>
      </c>
      <c r="CY43" t="s">
        <v>2174</v>
      </c>
      <c r="CZ43" t="s">
        <v>2218</v>
      </c>
    </row>
    <row r="44" spans="1:104" ht="16.350000000000001" customHeight="1" x14ac:dyDescent="0.25">
      <c r="A44" s="16"/>
      <c r="B44" s="16"/>
      <c r="C44" s="16"/>
      <c r="D44" s="16"/>
      <c r="E44" s="16"/>
      <c r="F44" s="16"/>
      <c r="G44" s="17"/>
      <c r="H44" s="17"/>
      <c r="I44" s="17"/>
      <c r="J44" s="17"/>
      <c r="K44" s="18" t="s">
        <v>219</v>
      </c>
      <c r="L44" s="18" t="s">
        <v>277</v>
      </c>
      <c r="M44" s="17"/>
      <c r="N44" s="17"/>
      <c r="O44" s="18" t="s">
        <v>219</v>
      </c>
      <c r="P44" s="17"/>
      <c r="Q44" s="17"/>
      <c r="R44" s="22">
        <v>215</v>
      </c>
      <c r="S44" s="18" t="s">
        <v>116</v>
      </c>
      <c r="T44" s="16"/>
      <c r="U44" s="16"/>
      <c r="V44" s="17"/>
      <c r="W44" s="17"/>
      <c r="X44" s="17"/>
      <c r="Y44" s="17"/>
      <c r="Z44" s="17"/>
      <c r="AA44" s="22">
        <v>215</v>
      </c>
      <c r="AB44" s="18" t="s">
        <v>116</v>
      </c>
      <c r="AC44" s="17"/>
      <c r="AD44" s="17"/>
      <c r="AE44" s="16"/>
      <c r="AF44" s="16"/>
      <c r="AG44" s="17"/>
      <c r="AH44" s="16"/>
      <c r="AI44" s="16"/>
      <c r="AJ44" s="17"/>
      <c r="AK44" s="17"/>
      <c r="AL44" s="17"/>
      <c r="AM44" s="17"/>
      <c r="AN44" s="22">
        <v>128</v>
      </c>
      <c r="AO44" s="18" t="s">
        <v>276</v>
      </c>
      <c r="AP44" s="22">
        <v>4</v>
      </c>
      <c r="AQ44" s="17"/>
      <c r="AR44" s="17"/>
      <c r="AS44" s="17"/>
      <c r="AT44" s="17"/>
      <c r="AU44" s="17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t="s">
        <v>71</v>
      </c>
      <c r="CD44" t="s">
        <v>1846</v>
      </c>
      <c r="CE44" t="s">
        <v>1558</v>
      </c>
      <c r="CF44" t="s">
        <v>1712</v>
      </c>
      <c r="CG44" t="s">
        <v>1659</v>
      </c>
      <c r="CH44" t="s">
        <v>1847</v>
      </c>
      <c r="CL44">
        <v>17</v>
      </c>
      <c r="CM44" t="s">
        <v>1667</v>
      </c>
      <c r="CN44">
        <v>2</v>
      </c>
      <c r="CO44" t="s">
        <v>1558</v>
      </c>
      <c r="CP44" t="s">
        <v>1712</v>
      </c>
      <c r="CQ44" t="s">
        <v>1989</v>
      </c>
      <c r="CR44" t="s">
        <v>1990</v>
      </c>
      <c r="CS44" t="s">
        <v>121</v>
      </c>
      <c r="CV44">
        <v>21</v>
      </c>
      <c r="CW44" t="s">
        <v>53</v>
      </c>
      <c r="CY44" t="s">
        <v>2175</v>
      </c>
      <c r="CZ44" t="s">
        <v>2219</v>
      </c>
    </row>
    <row r="45" spans="1:104" ht="16.350000000000001" customHeight="1" x14ac:dyDescent="0.25">
      <c r="A45" s="16"/>
      <c r="B45" s="16"/>
      <c r="C45" s="16"/>
      <c r="D45" s="16"/>
      <c r="E45" s="16"/>
      <c r="F45" s="16"/>
      <c r="G45" s="17"/>
      <c r="H45" s="17"/>
      <c r="I45" s="17"/>
      <c r="J45" s="17"/>
      <c r="K45" s="18" t="s">
        <v>1591</v>
      </c>
      <c r="L45" s="18" t="s">
        <v>279</v>
      </c>
      <c r="M45" s="17"/>
      <c r="N45" s="17"/>
      <c r="O45" s="18" t="s">
        <v>1591</v>
      </c>
      <c r="P45" s="17"/>
      <c r="Q45" s="17"/>
      <c r="R45" s="22">
        <v>217</v>
      </c>
      <c r="S45" s="17"/>
      <c r="T45" s="16"/>
      <c r="U45" s="16"/>
      <c r="V45" s="17"/>
      <c r="W45" s="17"/>
      <c r="X45" s="17"/>
      <c r="Y45" s="17"/>
      <c r="Z45" s="17"/>
      <c r="AA45" s="22">
        <v>217</v>
      </c>
      <c r="AB45" s="17"/>
      <c r="AC45" s="17"/>
      <c r="AD45" s="17"/>
      <c r="AE45" s="16"/>
      <c r="AF45" s="16"/>
      <c r="AG45" s="17"/>
      <c r="AH45" s="16"/>
      <c r="AI45" s="16"/>
      <c r="AJ45" s="17"/>
      <c r="AK45" s="17"/>
      <c r="AL45" s="17"/>
      <c r="AM45" s="17"/>
      <c r="AN45" s="22">
        <v>129</v>
      </c>
      <c r="AO45" s="18" t="s">
        <v>278</v>
      </c>
      <c r="AP45" s="22">
        <v>40</v>
      </c>
      <c r="AQ45" s="17"/>
      <c r="AR45" s="17"/>
      <c r="AS45" s="17"/>
      <c r="AT45" s="17"/>
      <c r="AU45" s="17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t="s">
        <v>71</v>
      </c>
      <c r="CD45" t="s">
        <v>1745</v>
      </c>
      <c r="CE45" t="s">
        <v>1558</v>
      </c>
      <c r="CF45" t="s">
        <v>18</v>
      </c>
      <c r="CG45" t="s">
        <v>1659</v>
      </c>
      <c r="CH45" t="s">
        <v>1844</v>
      </c>
      <c r="CL45">
        <v>18</v>
      </c>
      <c r="CM45" t="s">
        <v>1668</v>
      </c>
      <c r="CN45">
        <v>2</v>
      </c>
      <c r="CO45" t="s">
        <v>1558</v>
      </c>
      <c r="CP45" t="s">
        <v>18</v>
      </c>
      <c r="CQ45" t="s">
        <v>1980</v>
      </c>
      <c r="CR45" t="s">
        <v>1991</v>
      </c>
      <c r="CS45" t="s">
        <v>121</v>
      </c>
      <c r="CV45">
        <v>21</v>
      </c>
      <c r="CW45" t="s">
        <v>54</v>
      </c>
      <c r="CY45" t="s">
        <v>2176</v>
      </c>
      <c r="CZ45" t="s">
        <v>2220</v>
      </c>
    </row>
    <row r="46" spans="1:104" ht="16.350000000000001" customHeight="1" x14ac:dyDescent="0.25">
      <c r="A46" s="16"/>
      <c r="B46" s="16"/>
      <c r="C46" s="16"/>
      <c r="D46" s="16"/>
      <c r="E46" s="16"/>
      <c r="F46" s="16"/>
      <c r="G46" s="17"/>
      <c r="H46" s="17"/>
      <c r="I46" s="17"/>
      <c r="J46" s="17"/>
      <c r="K46" s="18" t="s">
        <v>200</v>
      </c>
      <c r="L46" s="18" t="s">
        <v>281</v>
      </c>
      <c r="M46" s="17"/>
      <c r="N46" s="17"/>
      <c r="O46" s="18" t="s">
        <v>200</v>
      </c>
      <c r="P46" s="17"/>
      <c r="Q46" s="17"/>
      <c r="R46" s="22">
        <v>218</v>
      </c>
      <c r="S46" s="17"/>
      <c r="T46" s="16"/>
      <c r="U46" s="16"/>
      <c r="V46" s="17"/>
      <c r="W46" s="17"/>
      <c r="X46" s="17"/>
      <c r="Y46" s="17"/>
      <c r="Z46" s="17"/>
      <c r="AA46" s="22">
        <v>218</v>
      </c>
      <c r="AB46" s="17"/>
      <c r="AC46" s="17"/>
      <c r="AD46" s="17"/>
      <c r="AE46" s="16"/>
      <c r="AF46" s="16"/>
      <c r="AG46" s="17"/>
      <c r="AH46" s="16"/>
      <c r="AI46" s="16"/>
      <c r="AJ46" s="17"/>
      <c r="AK46" s="17"/>
      <c r="AL46" s="17"/>
      <c r="AM46" s="17"/>
      <c r="AN46" s="22">
        <v>13</v>
      </c>
      <c r="AO46" s="18" t="s">
        <v>280</v>
      </c>
      <c r="AP46" s="22">
        <v>41</v>
      </c>
      <c r="AQ46" s="17"/>
      <c r="AR46" s="17"/>
      <c r="AS46" s="17"/>
      <c r="AT46" s="17"/>
      <c r="AU46" s="17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t="s">
        <v>71</v>
      </c>
      <c r="CD46" t="s">
        <v>1848</v>
      </c>
      <c r="CE46" t="s">
        <v>1558</v>
      </c>
      <c r="CF46" t="s">
        <v>1713</v>
      </c>
      <c r="CG46" t="s">
        <v>1659</v>
      </c>
      <c r="CH46" t="s">
        <v>1849</v>
      </c>
      <c r="CL46">
        <v>19</v>
      </c>
      <c r="CM46" t="s">
        <v>1669</v>
      </c>
      <c r="CN46">
        <v>2</v>
      </c>
      <c r="CO46" t="s">
        <v>1558</v>
      </c>
      <c r="CP46" t="s">
        <v>1713</v>
      </c>
      <c r="CQ46" t="s">
        <v>1987</v>
      </c>
      <c r="CR46" t="s">
        <v>1992</v>
      </c>
      <c r="CS46" t="s">
        <v>121</v>
      </c>
      <c r="CV46">
        <v>21</v>
      </c>
      <c r="CW46" t="s">
        <v>55</v>
      </c>
      <c r="CY46" t="s">
        <v>2177</v>
      </c>
      <c r="CZ46" t="s">
        <v>2221</v>
      </c>
    </row>
    <row r="47" spans="1:104" ht="16.350000000000001" customHeight="1" x14ac:dyDescent="0.25">
      <c r="A47" s="16"/>
      <c r="B47" s="16"/>
      <c r="C47" s="16"/>
      <c r="D47" s="16"/>
      <c r="E47" s="16"/>
      <c r="F47" s="16"/>
      <c r="G47" s="17"/>
      <c r="H47" s="17"/>
      <c r="I47" s="17"/>
      <c r="J47" s="17"/>
      <c r="K47" s="18" t="s">
        <v>267</v>
      </c>
      <c r="L47" s="18" t="s">
        <v>283</v>
      </c>
      <c r="M47" s="17"/>
      <c r="N47" s="17"/>
      <c r="O47" s="18" t="s">
        <v>267</v>
      </c>
      <c r="P47" s="17"/>
      <c r="Q47" s="17"/>
      <c r="R47" s="22">
        <v>227</v>
      </c>
      <c r="S47" s="17"/>
      <c r="T47" s="16"/>
      <c r="U47" s="16"/>
      <c r="V47" s="17"/>
      <c r="W47" s="17"/>
      <c r="X47" s="17"/>
      <c r="Y47" s="17"/>
      <c r="Z47" s="17"/>
      <c r="AA47" s="22">
        <v>227</v>
      </c>
      <c r="AB47" s="17"/>
      <c r="AC47" s="17"/>
      <c r="AD47" s="17"/>
      <c r="AE47" s="16"/>
      <c r="AF47" s="16"/>
      <c r="AG47" s="17"/>
      <c r="AH47" s="16"/>
      <c r="AI47" s="16"/>
      <c r="AJ47" s="17"/>
      <c r="AK47" s="17"/>
      <c r="AL47" s="17"/>
      <c r="AM47" s="17"/>
      <c r="AN47" s="22">
        <v>130</v>
      </c>
      <c r="AO47" s="18" t="s">
        <v>282</v>
      </c>
      <c r="AP47" s="22">
        <v>42</v>
      </c>
      <c r="AQ47" s="17"/>
      <c r="AR47" s="17"/>
      <c r="AS47" s="17"/>
      <c r="AT47" s="17"/>
      <c r="AU47" s="17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t="s">
        <v>71</v>
      </c>
      <c r="CD47" t="s">
        <v>1850</v>
      </c>
      <c r="CE47" t="s">
        <v>1558</v>
      </c>
      <c r="CF47" t="s">
        <v>1714</v>
      </c>
      <c r="CG47" t="s">
        <v>1659</v>
      </c>
      <c r="CH47" t="s">
        <v>1847</v>
      </c>
      <c r="CL47">
        <v>20</v>
      </c>
      <c r="CM47" t="s">
        <v>1670</v>
      </c>
      <c r="CN47">
        <v>2</v>
      </c>
      <c r="CO47" t="s">
        <v>1558</v>
      </c>
      <c r="CP47" t="s">
        <v>1714</v>
      </c>
      <c r="CQ47" t="s">
        <v>1989</v>
      </c>
      <c r="CR47" t="s">
        <v>1993</v>
      </c>
      <c r="CS47" t="s">
        <v>121</v>
      </c>
      <c r="CV47">
        <v>21</v>
      </c>
      <c r="CW47" t="s">
        <v>21</v>
      </c>
      <c r="CY47" t="s">
        <v>2178</v>
      </c>
      <c r="CZ47" t="s">
        <v>2222</v>
      </c>
    </row>
    <row r="48" spans="1:104" ht="16.350000000000001" customHeight="1" x14ac:dyDescent="0.25">
      <c r="A48" s="16"/>
      <c r="B48" s="16"/>
      <c r="C48" s="16"/>
      <c r="D48" s="16"/>
      <c r="E48" s="16"/>
      <c r="F48" s="16"/>
      <c r="G48" s="17"/>
      <c r="H48" s="17"/>
      <c r="I48" s="17"/>
      <c r="J48" s="17"/>
      <c r="K48" s="18" t="s">
        <v>1586</v>
      </c>
      <c r="L48" s="18" t="s">
        <v>285</v>
      </c>
      <c r="M48" s="17"/>
      <c r="N48" s="17"/>
      <c r="O48" s="18" t="s">
        <v>1586</v>
      </c>
      <c r="P48" s="17"/>
      <c r="Q48" s="17"/>
      <c r="R48" s="22">
        <v>231</v>
      </c>
      <c r="S48" s="17"/>
      <c r="T48" s="16"/>
      <c r="U48" s="16"/>
      <c r="V48" s="17"/>
      <c r="W48" s="17"/>
      <c r="X48" s="17"/>
      <c r="Y48" s="17"/>
      <c r="Z48" s="17"/>
      <c r="AA48" s="22">
        <v>231</v>
      </c>
      <c r="AB48" s="17"/>
      <c r="AC48" s="17"/>
      <c r="AD48" s="17"/>
      <c r="AE48" s="16"/>
      <c r="AF48" s="16"/>
      <c r="AG48" s="17"/>
      <c r="AH48" s="16"/>
      <c r="AI48" s="16"/>
      <c r="AJ48" s="17"/>
      <c r="AK48" s="17"/>
      <c r="AL48" s="17"/>
      <c r="AM48" s="17"/>
      <c r="AN48" s="22">
        <v>131</v>
      </c>
      <c r="AO48" s="18" t="s">
        <v>284</v>
      </c>
      <c r="AP48" s="22">
        <v>43</v>
      </c>
      <c r="AQ48" s="17"/>
      <c r="AR48" s="17"/>
      <c r="AS48" s="17"/>
      <c r="AT48" s="17"/>
      <c r="AU48" s="17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t="s">
        <v>71</v>
      </c>
      <c r="CD48" t="s">
        <v>1746</v>
      </c>
      <c r="CE48" t="s">
        <v>1558</v>
      </c>
      <c r="CF48" t="s">
        <v>19</v>
      </c>
      <c r="CG48" t="s">
        <v>1659</v>
      </c>
      <c r="CH48" t="s">
        <v>1844</v>
      </c>
      <c r="CL48">
        <v>21</v>
      </c>
      <c r="CM48" t="s">
        <v>1671</v>
      </c>
      <c r="CN48">
        <v>2</v>
      </c>
      <c r="CO48" t="s">
        <v>1558</v>
      </c>
      <c r="CP48" t="s">
        <v>19</v>
      </c>
      <c r="CQ48" t="s">
        <v>1980</v>
      </c>
      <c r="CR48" t="s">
        <v>1994</v>
      </c>
      <c r="CS48" t="s">
        <v>121</v>
      </c>
      <c r="CV48">
        <v>21</v>
      </c>
      <c r="CW48" t="s">
        <v>24</v>
      </c>
      <c r="CY48" t="s">
        <v>2179</v>
      </c>
      <c r="CZ48" t="s">
        <v>2223</v>
      </c>
    </row>
    <row r="49" spans="1:104" ht="16.350000000000001" customHeight="1" x14ac:dyDescent="0.25">
      <c r="A49" s="16"/>
      <c r="B49" s="16"/>
      <c r="C49" s="16"/>
      <c r="D49" s="16"/>
      <c r="E49" s="16"/>
      <c r="F49" s="16"/>
      <c r="G49" s="17"/>
      <c r="H49" s="17"/>
      <c r="I49" s="17"/>
      <c r="J49" s="17"/>
      <c r="K49" s="18" t="s">
        <v>287</v>
      </c>
      <c r="L49" s="18" t="s">
        <v>288</v>
      </c>
      <c r="M49" s="17"/>
      <c r="N49" s="17"/>
      <c r="O49" s="18" t="s">
        <v>287</v>
      </c>
      <c r="P49" s="17"/>
      <c r="Q49" s="17"/>
      <c r="R49" s="22">
        <v>232</v>
      </c>
      <c r="S49" s="17"/>
      <c r="T49" s="17"/>
      <c r="U49" s="17"/>
      <c r="V49" s="17"/>
      <c r="W49" s="17"/>
      <c r="X49" s="17"/>
      <c r="Y49" s="17"/>
      <c r="Z49" s="17"/>
      <c r="AA49" s="22">
        <v>232</v>
      </c>
      <c r="AB49" s="17"/>
      <c r="AC49" s="17"/>
      <c r="AD49" s="17"/>
      <c r="AE49" s="16"/>
      <c r="AF49" s="16"/>
      <c r="AG49" s="17"/>
      <c r="AH49" s="16"/>
      <c r="AI49" s="16"/>
      <c r="AJ49" s="17"/>
      <c r="AK49" s="17"/>
      <c r="AL49" s="17"/>
      <c r="AM49" s="17"/>
      <c r="AN49" s="22">
        <v>132</v>
      </c>
      <c r="AO49" s="18" t="s">
        <v>286</v>
      </c>
      <c r="AP49" s="22">
        <v>44</v>
      </c>
      <c r="AQ49" s="17"/>
      <c r="AR49" s="17"/>
      <c r="AS49" s="17"/>
      <c r="AT49" s="17"/>
      <c r="AU49" s="17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t="s">
        <v>71</v>
      </c>
      <c r="CD49" t="s">
        <v>1851</v>
      </c>
      <c r="CE49" t="s">
        <v>1558</v>
      </c>
      <c r="CF49" t="s">
        <v>1715</v>
      </c>
      <c r="CG49" t="s">
        <v>1659</v>
      </c>
      <c r="CH49" t="s">
        <v>1849</v>
      </c>
      <c r="CL49">
        <v>22</v>
      </c>
      <c r="CM49" t="s">
        <v>1672</v>
      </c>
      <c r="CN49">
        <v>2</v>
      </c>
      <c r="CO49" t="s">
        <v>1558</v>
      </c>
      <c r="CP49" t="s">
        <v>1715</v>
      </c>
      <c r="CQ49" t="s">
        <v>1995</v>
      </c>
      <c r="CR49" t="s">
        <v>1996</v>
      </c>
      <c r="CS49" t="s">
        <v>121</v>
      </c>
      <c r="CV49">
        <v>24</v>
      </c>
      <c r="CW49" t="s">
        <v>60</v>
      </c>
      <c r="CY49" t="s">
        <v>2180</v>
      </c>
      <c r="CZ49" t="s">
        <v>2224</v>
      </c>
    </row>
    <row r="50" spans="1:104" ht="16.350000000000001" customHeight="1" x14ac:dyDescent="0.25">
      <c r="A50" s="16"/>
      <c r="B50" s="16"/>
      <c r="C50" s="16"/>
      <c r="D50" s="16"/>
      <c r="E50" s="16"/>
      <c r="F50" s="16"/>
      <c r="G50" s="17"/>
      <c r="H50" s="17"/>
      <c r="I50" s="17"/>
      <c r="J50" s="17"/>
      <c r="K50" s="18" t="s">
        <v>290</v>
      </c>
      <c r="L50" s="18" t="s">
        <v>291</v>
      </c>
      <c r="M50" s="17"/>
      <c r="N50" s="17"/>
      <c r="O50" s="18" t="s">
        <v>290</v>
      </c>
      <c r="P50" s="17"/>
      <c r="Q50" s="17"/>
      <c r="R50" s="22">
        <v>233</v>
      </c>
      <c r="S50" s="17"/>
      <c r="T50" s="16"/>
      <c r="U50" s="16"/>
      <c r="V50" s="17"/>
      <c r="W50" s="17"/>
      <c r="X50" s="17"/>
      <c r="Y50" s="17"/>
      <c r="Z50" s="17"/>
      <c r="AA50" s="22">
        <v>233</v>
      </c>
      <c r="AB50" s="17"/>
      <c r="AC50" s="17"/>
      <c r="AD50" s="17"/>
      <c r="AE50" s="16"/>
      <c r="AF50" s="16"/>
      <c r="AG50" s="17"/>
      <c r="AH50" s="16"/>
      <c r="AI50" s="16"/>
      <c r="AJ50" s="17"/>
      <c r="AK50" s="17"/>
      <c r="AL50" s="17"/>
      <c r="AM50" s="17"/>
      <c r="AN50" s="22">
        <v>133</v>
      </c>
      <c r="AO50" s="18" t="s">
        <v>289</v>
      </c>
      <c r="AP50" s="22">
        <v>45</v>
      </c>
      <c r="AQ50" s="17"/>
      <c r="AR50" s="17"/>
      <c r="AS50" s="17"/>
      <c r="AT50" s="17"/>
      <c r="AU50" s="17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t="s">
        <v>71</v>
      </c>
      <c r="CD50" t="s">
        <v>1852</v>
      </c>
      <c r="CE50" t="s">
        <v>1558</v>
      </c>
      <c r="CF50" t="s">
        <v>1716</v>
      </c>
      <c r="CG50" t="s">
        <v>1659</v>
      </c>
      <c r="CH50" t="s">
        <v>1847</v>
      </c>
      <c r="CL50">
        <v>23</v>
      </c>
      <c r="CM50" t="s">
        <v>1673</v>
      </c>
      <c r="CN50">
        <v>2</v>
      </c>
      <c r="CO50" t="s">
        <v>1558</v>
      </c>
      <c r="CP50" t="s">
        <v>1716</v>
      </c>
      <c r="CQ50" t="s">
        <v>1989</v>
      </c>
      <c r="CR50" t="s">
        <v>1997</v>
      </c>
      <c r="CS50" t="s">
        <v>121</v>
      </c>
      <c r="CV50">
        <v>24</v>
      </c>
      <c r="CW50" t="s">
        <v>21</v>
      </c>
      <c r="CY50" t="s">
        <v>2181</v>
      </c>
      <c r="CZ50" t="s">
        <v>2225</v>
      </c>
    </row>
    <row r="51" spans="1:104" ht="16.350000000000001" customHeight="1" x14ac:dyDescent="0.25">
      <c r="A51" s="16"/>
      <c r="B51" s="16"/>
      <c r="C51" s="16"/>
      <c r="D51" s="16"/>
      <c r="E51" s="16"/>
      <c r="F51" s="16"/>
      <c r="G51" s="17"/>
      <c r="H51" s="17"/>
      <c r="I51" s="17"/>
      <c r="J51" s="17"/>
      <c r="K51" s="18" t="s">
        <v>293</v>
      </c>
      <c r="L51" s="18" t="s">
        <v>294</v>
      </c>
      <c r="M51" s="17"/>
      <c r="N51" s="17"/>
      <c r="O51" s="18" t="s">
        <v>293</v>
      </c>
      <c r="P51" s="17"/>
      <c r="Q51" s="17"/>
      <c r="R51" s="22">
        <v>234</v>
      </c>
      <c r="S51" s="17"/>
      <c r="T51" s="16"/>
      <c r="U51" s="16"/>
      <c r="V51" s="17"/>
      <c r="W51" s="17"/>
      <c r="X51" s="17"/>
      <c r="Y51" s="17"/>
      <c r="Z51" s="17"/>
      <c r="AA51" s="22">
        <v>234</v>
      </c>
      <c r="AB51" s="17"/>
      <c r="AC51" s="17"/>
      <c r="AD51" s="17"/>
      <c r="AE51" s="16"/>
      <c r="AF51" s="16"/>
      <c r="AG51" s="17"/>
      <c r="AH51" s="16"/>
      <c r="AI51" s="16"/>
      <c r="AJ51" s="17"/>
      <c r="AK51" s="17"/>
      <c r="AL51" s="17"/>
      <c r="AM51" s="17"/>
      <c r="AN51" s="22">
        <v>134</v>
      </c>
      <c r="AO51" s="18" t="s">
        <v>292</v>
      </c>
      <c r="AP51" s="22">
        <v>46</v>
      </c>
      <c r="AQ51" s="17"/>
      <c r="AR51" s="17"/>
      <c r="AS51" s="17"/>
      <c r="AT51" s="17"/>
      <c r="AU51" s="17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t="s">
        <v>71</v>
      </c>
      <c r="CD51" t="s">
        <v>85</v>
      </c>
      <c r="CE51" t="s">
        <v>1558</v>
      </c>
      <c r="CF51" t="s">
        <v>20</v>
      </c>
      <c r="CG51" t="s">
        <v>1659</v>
      </c>
      <c r="CH51" t="s">
        <v>1830</v>
      </c>
      <c r="CL51">
        <v>24</v>
      </c>
      <c r="CM51" t="s">
        <v>1674</v>
      </c>
      <c r="CN51">
        <v>2</v>
      </c>
      <c r="CO51" t="s">
        <v>1558</v>
      </c>
      <c r="CP51" t="s">
        <v>20</v>
      </c>
      <c r="CQ51" t="s">
        <v>1942</v>
      </c>
      <c r="CR51" t="s">
        <v>1998</v>
      </c>
      <c r="CS51" t="s">
        <v>121</v>
      </c>
      <c r="CV51">
        <v>24</v>
      </c>
      <c r="CW51" t="s">
        <v>24</v>
      </c>
      <c r="CY51" t="s">
        <v>2182</v>
      </c>
      <c r="CZ51" t="s">
        <v>2226</v>
      </c>
    </row>
    <row r="52" spans="1:104" ht="16.350000000000001" customHeight="1" x14ac:dyDescent="0.25">
      <c r="A52" s="16"/>
      <c r="B52" s="16"/>
      <c r="C52" s="16"/>
      <c r="D52" s="16"/>
      <c r="E52" s="16"/>
      <c r="F52" s="16"/>
      <c r="G52" s="17"/>
      <c r="H52" s="17"/>
      <c r="I52" s="17"/>
      <c r="J52" s="17"/>
      <c r="K52" s="18" t="s">
        <v>296</v>
      </c>
      <c r="L52" s="18" t="s">
        <v>297</v>
      </c>
      <c r="M52" s="17"/>
      <c r="N52" s="17"/>
      <c r="O52" s="18" t="s">
        <v>296</v>
      </c>
      <c r="P52" s="17"/>
      <c r="Q52" s="17"/>
      <c r="R52" s="22">
        <v>235</v>
      </c>
      <c r="S52" s="17"/>
      <c r="T52" s="16"/>
      <c r="U52" s="16"/>
      <c r="V52" s="17"/>
      <c r="W52" s="17"/>
      <c r="X52" s="17"/>
      <c r="Y52" s="17"/>
      <c r="Z52" s="17"/>
      <c r="AA52" s="22">
        <v>235</v>
      </c>
      <c r="AB52" s="17"/>
      <c r="AC52" s="17"/>
      <c r="AD52" s="17"/>
      <c r="AE52" s="16"/>
      <c r="AF52" s="16"/>
      <c r="AG52" s="17"/>
      <c r="AH52" s="16"/>
      <c r="AI52" s="16"/>
      <c r="AJ52" s="17"/>
      <c r="AK52" s="17"/>
      <c r="AL52" s="17"/>
      <c r="AM52" s="17"/>
      <c r="AN52" s="22">
        <v>135</v>
      </c>
      <c r="AO52" s="18" t="s">
        <v>295</v>
      </c>
      <c r="AP52" s="22">
        <v>47</v>
      </c>
      <c r="AQ52" s="17"/>
      <c r="AR52" s="17"/>
      <c r="AS52" s="17"/>
      <c r="AT52" s="17"/>
      <c r="AU52" s="17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t="s">
        <v>71</v>
      </c>
      <c r="CD52" t="s">
        <v>86</v>
      </c>
      <c r="CE52" t="s">
        <v>1558</v>
      </c>
      <c r="CF52" t="s">
        <v>21</v>
      </c>
      <c r="CG52" t="s">
        <v>1659</v>
      </c>
      <c r="CH52" t="s">
        <v>1830</v>
      </c>
      <c r="CL52">
        <v>25</v>
      </c>
      <c r="CM52" t="s">
        <v>1675</v>
      </c>
      <c r="CN52">
        <v>2</v>
      </c>
      <c r="CO52" t="s">
        <v>1558</v>
      </c>
      <c r="CP52" t="s">
        <v>21</v>
      </c>
      <c r="CQ52" t="s">
        <v>1942</v>
      </c>
      <c r="CR52" t="s">
        <v>1999</v>
      </c>
      <c r="CS52" t="s">
        <v>121</v>
      </c>
      <c r="CY52" t="s">
        <v>2183</v>
      </c>
      <c r="CZ52" t="s">
        <v>2227</v>
      </c>
    </row>
    <row r="53" spans="1:104" ht="16.350000000000001" customHeight="1" x14ac:dyDescent="0.25">
      <c r="A53" s="16"/>
      <c r="B53" s="16"/>
      <c r="C53" s="16"/>
      <c r="D53" s="16"/>
      <c r="E53" s="16"/>
      <c r="F53" s="16"/>
      <c r="G53" s="17"/>
      <c r="H53" s="17"/>
      <c r="I53" s="17"/>
      <c r="J53" s="17"/>
      <c r="K53" s="18" t="s">
        <v>299</v>
      </c>
      <c r="L53" s="18" t="s">
        <v>300</v>
      </c>
      <c r="M53" s="17"/>
      <c r="N53" s="17"/>
      <c r="O53" s="18" t="s">
        <v>299</v>
      </c>
      <c r="P53" s="17"/>
      <c r="Q53" s="17"/>
      <c r="R53" s="22">
        <v>237</v>
      </c>
      <c r="S53" s="17"/>
      <c r="T53" s="16"/>
      <c r="U53" s="16"/>
      <c r="V53" s="17"/>
      <c r="W53" s="17"/>
      <c r="X53" s="17"/>
      <c r="Y53" s="17"/>
      <c r="Z53" s="17"/>
      <c r="AA53" s="22">
        <v>237</v>
      </c>
      <c r="AB53" s="17"/>
      <c r="AC53" s="17"/>
      <c r="AD53" s="17"/>
      <c r="AE53" s="16"/>
      <c r="AF53" s="16"/>
      <c r="AG53" s="17"/>
      <c r="AH53" s="16"/>
      <c r="AI53" s="16"/>
      <c r="AJ53" s="17"/>
      <c r="AK53" s="17"/>
      <c r="AL53" s="17"/>
      <c r="AM53" s="17"/>
      <c r="AN53" s="22">
        <v>136</v>
      </c>
      <c r="AO53" s="18" t="s">
        <v>298</v>
      </c>
      <c r="AP53" s="22">
        <v>48</v>
      </c>
      <c r="AQ53" s="17"/>
      <c r="AR53" s="17"/>
      <c r="AS53" s="17"/>
      <c r="AT53" s="17"/>
      <c r="AU53" s="17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t="s">
        <v>71</v>
      </c>
      <c r="CD53" t="s">
        <v>1747</v>
      </c>
      <c r="CE53" t="s">
        <v>1558</v>
      </c>
      <c r="CF53" t="s">
        <v>22</v>
      </c>
      <c r="CG53" t="s">
        <v>1659</v>
      </c>
      <c r="CH53" t="s">
        <v>1829</v>
      </c>
      <c r="CL53">
        <v>26</v>
      </c>
      <c r="CM53" t="s">
        <v>1687</v>
      </c>
      <c r="CN53">
        <v>2</v>
      </c>
      <c r="CO53" t="s">
        <v>1558</v>
      </c>
      <c r="CP53" t="s">
        <v>22</v>
      </c>
      <c r="CQ53" t="s">
        <v>1948</v>
      </c>
      <c r="CR53" t="s">
        <v>2000</v>
      </c>
      <c r="CS53" t="s">
        <v>121</v>
      </c>
      <c r="CY53" t="s">
        <v>2184</v>
      </c>
      <c r="CZ53" t="s">
        <v>2228</v>
      </c>
    </row>
    <row r="54" spans="1:104" ht="16.350000000000001" customHeight="1" x14ac:dyDescent="0.25">
      <c r="A54" s="16"/>
      <c r="B54" s="16"/>
      <c r="C54" s="16"/>
      <c r="D54" s="16"/>
      <c r="E54" s="16"/>
      <c r="F54" s="16"/>
      <c r="G54" s="17"/>
      <c r="H54" s="17"/>
      <c r="I54" s="17"/>
      <c r="J54" s="17"/>
      <c r="K54" s="18" t="s">
        <v>302</v>
      </c>
      <c r="L54" s="18" t="s">
        <v>303</v>
      </c>
      <c r="M54" s="17"/>
      <c r="N54" s="17"/>
      <c r="O54" s="18" t="s">
        <v>302</v>
      </c>
      <c r="P54" s="17"/>
      <c r="Q54" s="17"/>
      <c r="R54" s="22">
        <v>245</v>
      </c>
      <c r="S54" s="17"/>
      <c r="T54" s="16"/>
      <c r="U54" s="16"/>
      <c r="V54" s="17"/>
      <c r="W54" s="17"/>
      <c r="X54" s="17"/>
      <c r="Y54" s="17"/>
      <c r="Z54" s="17"/>
      <c r="AA54" s="22">
        <v>245</v>
      </c>
      <c r="AB54" s="17"/>
      <c r="AC54" s="17"/>
      <c r="AD54" s="17"/>
      <c r="AE54" s="16"/>
      <c r="AF54" s="16"/>
      <c r="AG54" s="17"/>
      <c r="AH54" s="16"/>
      <c r="AI54" s="16"/>
      <c r="AJ54" s="17"/>
      <c r="AK54" s="17"/>
      <c r="AL54" s="17"/>
      <c r="AM54" s="17"/>
      <c r="AN54" s="22">
        <v>137</v>
      </c>
      <c r="AO54" s="18" t="s">
        <v>301</v>
      </c>
      <c r="AP54" s="22">
        <v>49</v>
      </c>
      <c r="AQ54" s="17"/>
      <c r="AR54" s="17"/>
      <c r="AS54" s="17"/>
      <c r="AT54" s="17"/>
      <c r="AU54" s="17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t="s">
        <v>71</v>
      </c>
      <c r="CD54" t="s">
        <v>1748</v>
      </c>
      <c r="CE54" t="s">
        <v>1558</v>
      </c>
      <c r="CF54" t="s">
        <v>23</v>
      </c>
      <c r="CG54" t="s">
        <v>1664</v>
      </c>
      <c r="CH54" t="s">
        <v>1853</v>
      </c>
      <c r="CL54">
        <v>27</v>
      </c>
      <c r="CM54" t="s">
        <v>1688</v>
      </c>
      <c r="CN54">
        <v>2</v>
      </c>
      <c r="CO54" t="s">
        <v>1558</v>
      </c>
      <c r="CP54" t="s">
        <v>23</v>
      </c>
      <c r="CQ54" t="s">
        <v>2001</v>
      </c>
      <c r="CR54" t="s">
        <v>2002</v>
      </c>
      <c r="CS54" t="s">
        <v>121</v>
      </c>
      <c r="CY54" t="s">
        <v>2185</v>
      </c>
      <c r="CZ54" t="s">
        <v>2229</v>
      </c>
    </row>
    <row r="55" spans="1:104" ht="16.350000000000001" customHeight="1" x14ac:dyDescent="0.25">
      <c r="A55" s="16"/>
      <c r="B55" s="16"/>
      <c r="C55" s="16"/>
      <c r="D55" s="16"/>
      <c r="E55" s="16"/>
      <c r="F55" s="16"/>
      <c r="G55" s="17"/>
      <c r="H55" s="17"/>
      <c r="I55" s="17"/>
      <c r="J55" s="17"/>
      <c r="K55" s="18" t="s">
        <v>1592</v>
      </c>
      <c r="L55" s="18" t="s">
        <v>305</v>
      </c>
      <c r="M55" s="17"/>
      <c r="N55" s="17"/>
      <c r="O55" s="18" t="s">
        <v>1592</v>
      </c>
      <c r="P55" s="17"/>
      <c r="Q55" s="17"/>
      <c r="R55" s="22">
        <v>301</v>
      </c>
      <c r="S55" s="17"/>
      <c r="T55" s="16"/>
      <c r="U55" s="16"/>
      <c r="V55" s="17"/>
      <c r="W55" s="17"/>
      <c r="X55" s="17"/>
      <c r="Y55" s="17"/>
      <c r="Z55" s="17"/>
      <c r="AA55" s="22">
        <v>301</v>
      </c>
      <c r="AB55" s="17"/>
      <c r="AC55" s="17"/>
      <c r="AD55" s="17"/>
      <c r="AE55" s="16"/>
      <c r="AF55" s="16"/>
      <c r="AG55" s="17"/>
      <c r="AH55" s="16"/>
      <c r="AI55" s="16"/>
      <c r="AJ55" s="17"/>
      <c r="AK55" s="17"/>
      <c r="AL55" s="17"/>
      <c r="AM55" s="17"/>
      <c r="AN55" s="22">
        <v>138</v>
      </c>
      <c r="AO55" s="18" t="s">
        <v>304</v>
      </c>
      <c r="AP55" s="22">
        <v>5</v>
      </c>
      <c r="AQ55" s="17"/>
      <c r="AR55" s="17"/>
      <c r="AS55" s="17"/>
      <c r="AT55" s="17"/>
      <c r="AU55" s="17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t="s">
        <v>71</v>
      </c>
      <c r="CD55" t="s">
        <v>87</v>
      </c>
      <c r="CE55" t="s">
        <v>1558</v>
      </c>
      <c r="CF55" t="s">
        <v>24</v>
      </c>
      <c r="CG55" t="s">
        <v>1659</v>
      </c>
      <c r="CH55" t="s">
        <v>1830</v>
      </c>
      <c r="CL55">
        <v>28</v>
      </c>
      <c r="CM55" t="s">
        <v>1689</v>
      </c>
      <c r="CN55">
        <v>2</v>
      </c>
      <c r="CO55" t="s">
        <v>1558</v>
      </c>
      <c r="CP55" t="s">
        <v>24</v>
      </c>
      <c r="CQ55" t="s">
        <v>1942</v>
      </c>
      <c r="CR55" t="s">
        <v>2003</v>
      </c>
      <c r="CS55" t="s">
        <v>121</v>
      </c>
      <c r="CY55" t="s">
        <v>1573</v>
      </c>
      <c r="CZ55" t="s">
        <v>2230</v>
      </c>
    </row>
    <row r="56" spans="1:104" ht="16.350000000000001" customHeight="1" x14ac:dyDescent="0.25">
      <c r="A56" s="16"/>
      <c r="B56" s="16"/>
      <c r="C56" s="16"/>
      <c r="D56" s="16"/>
      <c r="E56" s="16"/>
      <c r="F56" s="16"/>
      <c r="G56" s="17"/>
      <c r="H56" s="17"/>
      <c r="I56" s="17"/>
      <c r="J56" s="17"/>
      <c r="K56" s="18" t="s">
        <v>1593</v>
      </c>
      <c r="L56" s="18" t="s">
        <v>307</v>
      </c>
      <c r="M56" s="17"/>
      <c r="N56" s="17"/>
      <c r="O56" s="18" t="s">
        <v>1593</v>
      </c>
      <c r="P56" s="17"/>
      <c r="Q56" s="17"/>
      <c r="R56" s="22">
        <v>302</v>
      </c>
      <c r="S56" s="17"/>
      <c r="T56" s="16"/>
      <c r="U56" s="16"/>
      <c r="V56" s="17"/>
      <c r="W56" s="17"/>
      <c r="X56" s="17"/>
      <c r="Y56" s="17"/>
      <c r="Z56" s="17"/>
      <c r="AA56" s="22">
        <v>302</v>
      </c>
      <c r="AB56" s="17"/>
      <c r="AC56" s="17"/>
      <c r="AD56" s="17"/>
      <c r="AE56" s="16"/>
      <c r="AF56" s="16"/>
      <c r="AG56" s="17"/>
      <c r="AH56" s="16"/>
      <c r="AI56" s="16"/>
      <c r="AJ56" s="17"/>
      <c r="AK56" s="17"/>
      <c r="AL56" s="17"/>
      <c r="AM56" s="17"/>
      <c r="AN56" s="22">
        <v>139</v>
      </c>
      <c r="AO56" s="18" t="s">
        <v>306</v>
      </c>
      <c r="AP56" s="22">
        <v>50</v>
      </c>
      <c r="AQ56" s="17"/>
      <c r="AR56" s="17"/>
      <c r="AS56" s="17"/>
      <c r="AT56" s="17"/>
      <c r="AU56" s="17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t="s">
        <v>71</v>
      </c>
      <c r="CD56" t="s">
        <v>1749</v>
      </c>
      <c r="CE56" t="s">
        <v>1558</v>
      </c>
      <c r="CF56" t="s">
        <v>25</v>
      </c>
      <c r="CG56" t="s">
        <v>1664</v>
      </c>
      <c r="CH56" t="s">
        <v>1854</v>
      </c>
      <c r="CL56">
        <v>29</v>
      </c>
      <c r="CM56" t="s">
        <v>1690</v>
      </c>
      <c r="CN56">
        <v>2</v>
      </c>
      <c r="CO56" t="s">
        <v>1558</v>
      </c>
      <c r="CP56" t="s">
        <v>25</v>
      </c>
      <c r="CQ56" t="s">
        <v>2004</v>
      </c>
      <c r="CR56" t="s">
        <v>2005</v>
      </c>
      <c r="CS56" t="s">
        <v>121</v>
      </c>
      <c r="CY56" t="s">
        <v>22</v>
      </c>
      <c r="CZ56" t="s">
        <v>2231</v>
      </c>
    </row>
    <row r="57" spans="1:104" ht="16.350000000000001" customHeight="1" x14ac:dyDescent="0.25">
      <c r="A57" s="16"/>
      <c r="B57" s="16"/>
      <c r="C57" s="16"/>
      <c r="D57" s="16"/>
      <c r="E57" s="16"/>
      <c r="F57" s="16"/>
      <c r="G57" s="17"/>
      <c r="H57" s="17"/>
      <c r="I57" s="17"/>
      <c r="J57" s="17"/>
      <c r="K57" s="18" t="s">
        <v>309</v>
      </c>
      <c r="L57" s="18" t="s">
        <v>310</v>
      </c>
      <c r="M57" s="17"/>
      <c r="N57" s="17"/>
      <c r="O57" s="18" t="s">
        <v>309</v>
      </c>
      <c r="P57" s="17"/>
      <c r="Q57" s="17"/>
      <c r="R57" s="22">
        <v>303</v>
      </c>
      <c r="S57" s="17"/>
      <c r="T57" s="16"/>
      <c r="U57" s="16"/>
      <c r="V57" s="17"/>
      <c r="W57" s="17"/>
      <c r="X57" s="17"/>
      <c r="Y57" s="17"/>
      <c r="Z57" s="17"/>
      <c r="AA57" s="22">
        <v>303</v>
      </c>
      <c r="AB57" s="17"/>
      <c r="AC57" s="17"/>
      <c r="AD57" s="17"/>
      <c r="AE57" s="16"/>
      <c r="AF57" s="16"/>
      <c r="AG57" s="17"/>
      <c r="AH57" s="16"/>
      <c r="AI57" s="16"/>
      <c r="AJ57" s="17"/>
      <c r="AK57" s="17"/>
      <c r="AL57" s="17"/>
      <c r="AM57" s="17"/>
      <c r="AN57" s="22">
        <v>14</v>
      </c>
      <c r="AO57" s="18" t="s">
        <v>308</v>
      </c>
      <c r="AP57" s="22">
        <v>51</v>
      </c>
      <c r="AQ57" s="17"/>
      <c r="AR57" s="17"/>
      <c r="AS57" s="17"/>
      <c r="AT57" s="17"/>
      <c r="AU57" s="17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t="s">
        <v>71</v>
      </c>
      <c r="CD57" t="s">
        <v>1750</v>
      </c>
      <c r="CE57" t="s">
        <v>1558</v>
      </c>
      <c r="CF57" t="s">
        <v>26</v>
      </c>
      <c r="CG57" t="s">
        <v>1659</v>
      </c>
      <c r="CH57" t="s">
        <v>1826</v>
      </c>
      <c r="CL57">
        <v>30</v>
      </c>
      <c r="CM57" t="s">
        <v>1691</v>
      </c>
      <c r="CN57">
        <v>2</v>
      </c>
      <c r="CO57" t="s">
        <v>1558</v>
      </c>
      <c r="CP57" t="s">
        <v>26</v>
      </c>
      <c r="CQ57" t="s">
        <v>2006</v>
      </c>
      <c r="CR57" t="s">
        <v>2007</v>
      </c>
      <c r="CS57" t="s">
        <v>121</v>
      </c>
    </row>
    <row r="58" spans="1:104" ht="16.350000000000001" customHeight="1" x14ac:dyDescent="0.25">
      <c r="A58" s="16"/>
      <c r="B58" s="16"/>
      <c r="C58" s="16"/>
      <c r="D58" s="16"/>
      <c r="E58" s="16"/>
      <c r="F58" s="16"/>
      <c r="G58" s="17"/>
      <c r="H58" s="17"/>
      <c r="I58" s="17"/>
      <c r="J58" s="17"/>
      <c r="K58" s="18" t="s">
        <v>312</v>
      </c>
      <c r="L58" s="18" t="s">
        <v>313</v>
      </c>
      <c r="M58" s="17"/>
      <c r="N58" s="17"/>
      <c r="O58" s="18" t="s">
        <v>312</v>
      </c>
      <c r="P58" s="17"/>
      <c r="Q58" s="17"/>
      <c r="R58" s="22">
        <v>304</v>
      </c>
      <c r="S58" s="17"/>
      <c r="T58" s="16"/>
      <c r="U58" s="16"/>
      <c r="V58" s="17"/>
      <c r="W58" s="17"/>
      <c r="X58" s="17"/>
      <c r="Y58" s="17"/>
      <c r="Z58" s="17"/>
      <c r="AA58" s="22">
        <v>304</v>
      </c>
      <c r="AB58" s="17"/>
      <c r="AC58" s="17"/>
      <c r="AD58" s="17"/>
      <c r="AE58" s="16"/>
      <c r="AF58" s="16"/>
      <c r="AG58" s="17"/>
      <c r="AH58" s="16"/>
      <c r="AI58" s="16"/>
      <c r="AJ58" s="17"/>
      <c r="AK58" s="17"/>
      <c r="AL58" s="17"/>
      <c r="AM58" s="17"/>
      <c r="AN58" s="22">
        <v>140</v>
      </c>
      <c r="AO58" s="18" t="s">
        <v>311</v>
      </c>
      <c r="AP58" s="22">
        <v>53</v>
      </c>
      <c r="AQ58" s="17"/>
      <c r="AR58" s="17"/>
      <c r="AS58" s="17"/>
      <c r="AT58" s="17"/>
      <c r="AU58" s="17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t="s">
        <v>71</v>
      </c>
      <c r="CD58" t="s">
        <v>1855</v>
      </c>
      <c r="CE58" t="s">
        <v>1558</v>
      </c>
      <c r="CF58" t="s">
        <v>1717</v>
      </c>
      <c r="CG58" t="s">
        <v>1659</v>
      </c>
      <c r="CH58" t="s">
        <v>1849</v>
      </c>
      <c r="CL58">
        <v>31</v>
      </c>
      <c r="CM58" t="s">
        <v>1692</v>
      </c>
      <c r="CN58">
        <v>2</v>
      </c>
      <c r="CO58" t="s">
        <v>1558</v>
      </c>
      <c r="CP58" t="s">
        <v>1717</v>
      </c>
      <c r="CQ58" t="s">
        <v>2008</v>
      </c>
      <c r="CR58" t="s">
        <v>2009</v>
      </c>
      <c r="CS58" t="s">
        <v>121</v>
      </c>
    </row>
    <row r="59" spans="1:104" ht="16.350000000000001" customHeight="1" x14ac:dyDescent="0.25">
      <c r="A59" s="16"/>
      <c r="B59" s="16"/>
      <c r="C59" s="16"/>
      <c r="D59" s="16"/>
      <c r="E59" s="16"/>
      <c r="F59" s="16"/>
      <c r="G59" s="17"/>
      <c r="H59" s="17"/>
      <c r="I59" s="17"/>
      <c r="J59" s="17"/>
      <c r="K59" s="18" t="s">
        <v>315</v>
      </c>
      <c r="L59" s="18" t="s">
        <v>316</v>
      </c>
      <c r="M59" s="17"/>
      <c r="N59" s="17"/>
      <c r="O59" s="18" t="s">
        <v>315</v>
      </c>
      <c r="P59" s="17"/>
      <c r="Q59" s="17"/>
      <c r="R59" s="22">
        <v>306</v>
      </c>
      <c r="S59" s="17"/>
      <c r="T59" s="16"/>
      <c r="U59" s="16"/>
      <c r="V59" s="17"/>
      <c r="W59" s="17"/>
      <c r="X59" s="17"/>
      <c r="Y59" s="17"/>
      <c r="Z59" s="17"/>
      <c r="AA59" s="22">
        <v>306</v>
      </c>
      <c r="AB59" s="17"/>
      <c r="AC59" s="17"/>
      <c r="AD59" s="17"/>
      <c r="AE59" s="16"/>
      <c r="AF59" s="16"/>
      <c r="AG59" s="17"/>
      <c r="AH59" s="16"/>
      <c r="AI59" s="16"/>
      <c r="AJ59" s="17"/>
      <c r="AK59" s="17"/>
      <c r="AL59" s="17"/>
      <c r="AM59" s="17"/>
      <c r="AN59" s="22">
        <v>141</v>
      </c>
      <c r="AO59" s="17"/>
      <c r="AP59" s="22">
        <v>54</v>
      </c>
      <c r="AQ59" s="17"/>
      <c r="AR59" s="17"/>
      <c r="AS59" s="17"/>
      <c r="AT59" s="17"/>
      <c r="AU59" s="17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t="s">
        <v>71</v>
      </c>
      <c r="CD59" t="s">
        <v>1751</v>
      </c>
      <c r="CE59" t="s">
        <v>1558</v>
      </c>
      <c r="CF59" t="s">
        <v>1552</v>
      </c>
      <c r="CG59" t="s">
        <v>1664</v>
      </c>
      <c r="CH59" t="s">
        <v>1835</v>
      </c>
      <c r="CL59">
        <v>32</v>
      </c>
      <c r="CM59" t="s">
        <v>1693</v>
      </c>
      <c r="CN59">
        <v>2</v>
      </c>
      <c r="CO59" t="s">
        <v>1558</v>
      </c>
      <c r="CP59" t="s">
        <v>1552</v>
      </c>
      <c r="CQ59" t="s">
        <v>1962</v>
      </c>
      <c r="CR59" t="s">
        <v>2010</v>
      </c>
      <c r="CS59" t="s">
        <v>121</v>
      </c>
    </row>
    <row r="60" spans="1:104" ht="16.350000000000001" customHeight="1" x14ac:dyDescent="0.25">
      <c r="A60" s="16"/>
      <c r="B60" s="16"/>
      <c r="C60" s="16"/>
      <c r="D60" s="16"/>
      <c r="E60" s="16"/>
      <c r="F60" s="16"/>
      <c r="G60" s="17"/>
      <c r="H60" s="17"/>
      <c r="I60" s="17"/>
      <c r="J60" s="17"/>
      <c r="K60" s="18" t="s">
        <v>317</v>
      </c>
      <c r="L60" s="18" t="s">
        <v>318</v>
      </c>
      <c r="M60" s="17"/>
      <c r="N60" s="17"/>
      <c r="O60" s="18" t="s">
        <v>317</v>
      </c>
      <c r="P60" s="17"/>
      <c r="Q60" s="17"/>
      <c r="R60" s="22">
        <v>308</v>
      </c>
      <c r="S60" s="17"/>
      <c r="T60" s="16"/>
      <c r="U60" s="16"/>
      <c r="V60" s="17"/>
      <c r="W60" s="17"/>
      <c r="X60" s="17"/>
      <c r="Y60" s="17"/>
      <c r="Z60" s="17"/>
      <c r="AA60" s="22">
        <v>308</v>
      </c>
      <c r="AB60" s="17"/>
      <c r="AC60" s="17"/>
      <c r="AD60" s="17"/>
      <c r="AE60" s="16"/>
      <c r="AF60" s="16"/>
      <c r="AG60" s="16"/>
      <c r="AH60" s="16"/>
      <c r="AI60" s="16"/>
      <c r="AJ60" s="17"/>
      <c r="AK60" s="17"/>
      <c r="AL60" s="17"/>
      <c r="AM60" s="17"/>
      <c r="AN60" s="22">
        <v>142</v>
      </c>
      <c r="AO60" s="17"/>
      <c r="AP60" s="22">
        <v>55</v>
      </c>
      <c r="AQ60" s="17"/>
      <c r="AR60" s="17"/>
      <c r="AS60" s="17"/>
      <c r="AT60" s="17"/>
      <c r="AU60" s="17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t="s">
        <v>1856</v>
      </c>
      <c r="CE60" t="s">
        <v>1559</v>
      </c>
      <c r="CF60" t="s">
        <v>1572</v>
      </c>
      <c r="CL60">
        <v>1</v>
      </c>
      <c r="CM60" t="s">
        <v>1936</v>
      </c>
      <c r="CN60">
        <v>2</v>
      </c>
      <c r="CO60" t="s">
        <v>1559</v>
      </c>
      <c r="CP60" t="s">
        <v>1572</v>
      </c>
      <c r="CQ60" t="s">
        <v>121</v>
      </c>
      <c r="CR60" t="s">
        <v>121</v>
      </c>
      <c r="CS60" t="s">
        <v>121</v>
      </c>
    </row>
    <row r="61" spans="1:104" ht="16.350000000000001" customHeight="1" x14ac:dyDescent="0.25">
      <c r="A61" s="16"/>
      <c r="B61" s="16"/>
      <c r="C61" s="16"/>
      <c r="D61" s="16"/>
      <c r="E61" s="16"/>
      <c r="F61" s="16"/>
      <c r="G61" s="17"/>
      <c r="H61" s="17"/>
      <c r="I61" s="17"/>
      <c r="J61" s="17"/>
      <c r="K61" s="18" t="s">
        <v>319</v>
      </c>
      <c r="L61" s="18" t="s">
        <v>320</v>
      </c>
      <c r="M61" s="17"/>
      <c r="N61" s="17"/>
      <c r="O61" s="18" t="s">
        <v>319</v>
      </c>
      <c r="P61" s="17"/>
      <c r="Q61" s="17"/>
      <c r="R61" s="22">
        <v>309</v>
      </c>
      <c r="S61" s="17"/>
      <c r="T61" s="16"/>
      <c r="U61" s="16"/>
      <c r="V61" s="17"/>
      <c r="W61" s="17"/>
      <c r="X61" s="17"/>
      <c r="Y61" s="17"/>
      <c r="Z61" s="17"/>
      <c r="AA61" s="22">
        <v>309</v>
      </c>
      <c r="AB61" s="17"/>
      <c r="AC61" s="17"/>
      <c r="AD61" s="17"/>
      <c r="AE61" s="16"/>
      <c r="AF61" s="16"/>
      <c r="AG61" s="17"/>
      <c r="AH61" s="16"/>
      <c r="AI61" s="16"/>
      <c r="AJ61" s="17"/>
      <c r="AK61" s="17"/>
      <c r="AL61" s="17"/>
      <c r="AM61" s="17"/>
      <c r="AN61" s="22">
        <v>143</v>
      </c>
      <c r="AO61" s="17"/>
      <c r="AP61" s="22">
        <v>56</v>
      </c>
      <c r="AQ61" s="17"/>
      <c r="AR61" s="17"/>
      <c r="AS61" s="17"/>
      <c r="AT61" s="17"/>
      <c r="AU61" s="17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t="s">
        <v>1856</v>
      </c>
      <c r="CE61" t="s">
        <v>1559</v>
      </c>
      <c r="CF61" t="s">
        <v>1571</v>
      </c>
      <c r="CL61">
        <v>2</v>
      </c>
      <c r="CM61" t="s">
        <v>1939</v>
      </c>
      <c r="CN61">
        <v>2</v>
      </c>
      <c r="CO61" t="s">
        <v>1559</v>
      </c>
      <c r="CP61" t="s">
        <v>1571</v>
      </c>
      <c r="CQ61" t="s">
        <v>1964</v>
      </c>
      <c r="CR61" t="s">
        <v>1965</v>
      </c>
      <c r="CS61" t="s">
        <v>121</v>
      </c>
    </row>
    <row r="62" spans="1:104" ht="16.350000000000001" customHeight="1" x14ac:dyDescent="0.25">
      <c r="A62" s="16"/>
      <c r="B62" s="16"/>
      <c r="C62" s="16"/>
      <c r="D62" s="16"/>
      <c r="E62" s="16"/>
      <c r="F62" s="16"/>
      <c r="G62" s="17"/>
      <c r="H62" s="17"/>
      <c r="I62" s="17"/>
      <c r="J62" s="17"/>
      <c r="K62" s="18" t="s">
        <v>321</v>
      </c>
      <c r="L62" s="18" t="s">
        <v>322</v>
      </c>
      <c r="M62" s="17"/>
      <c r="N62" s="17"/>
      <c r="O62" s="18" t="s">
        <v>321</v>
      </c>
      <c r="P62" s="17"/>
      <c r="Q62" s="17"/>
      <c r="R62" s="22">
        <v>310</v>
      </c>
      <c r="S62" s="17"/>
      <c r="T62" s="16"/>
      <c r="U62" s="16"/>
      <c r="V62" s="17"/>
      <c r="W62" s="17"/>
      <c r="X62" s="17"/>
      <c r="Y62" s="17"/>
      <c r="Z62" s="17"/>
      <c r="AA62" s="22">
        <v>310</v>
      </c>
      <c r="AB62" s="17"/>
      <c r="AC62" s="17"/>
      <c r="AD62" s="17"/>
      <c r="AE62" s="16"/>
      <c r="AF62" s="16"/>
      <c r="AG62" s="17"/>
      <c r="AH62" s="16"/>
      <c r="AI62" s="16"/>
      <c r="AJ62" s="17"/>
      <c r="AK62" s="17"/>
      <c r="AL62" s="17"/>
      <c r="AM62" s="17"/>
      <c r="AN62" s="22">
        <v>144</v>
      </c>
      <c r="AO62" s="17"/>
      <c r="AP62" s="22">
        <v>57</v>
      </c>
      <c r="AQ62" s="17"/>
      <c r="AR62" s="17"/>
      <c r="AS62" s="17"/>
      <c r="AT62" s="17"/>
      <c r="AU62" s="17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t="s">
        <v>1856</v>
      </c>
      <c r="CD62" t="s">
        <v>1857</v>
      </c>
      <c r="CE62" t="s">
        <v>1559</v>
      </c>
      <c r="CF62" t="s">
        <v>27</v>
      </c>
      <c r="CG62" t="s">
        <v>1659</v>
      </c>
      <c r="CH62" t="s">
        <v>113</v>
      </c>
      <c r="CL62">
        <v>3</v>
      </c>
      <c r="CM62" t="s">
        <v>1659</v>
      </c>
      <c r="CN62">
        <v>2</v>
      </c>
      <c r="CO62" t="s">
        <v>1559</v>
      </c>
      <c r="CP62" t="s">
        <v>27</v>
      </c>
      <c r="CQ62" t="s">
        <v>1966</v>
      </c>
      <c r="CR62" t="s">
        <v>1967</v>
      </c>
      <c r="CS62" t="s">
        <v>121</v>
      </c>
    </row>
    <row r="63" spans="1:104" ht="16.350000000000001" customHeight="1" x14ac:dyDescent="0.25">
      <c r="A63" s="16"/>
      <c r="B63" s="16"/>
      <c r="C63" s="16"/>
      <c r="D63" s="16"/>
      <c r="E63" s="16"/>
      <c r="F63" s="16"/>
      <c r="G63" s="17"/>
      <c r="H63" s="17"/>
      <c r="I63" s="17"/>
      <c r="J63" s="17"/>
      <c r="K63" s="18" t="s">
        <v>1594</v>
      </c>
      <c r="L63" s="18" t="s">
        <v>323</v>
      </c>
      <c r="M63" s="17"/>
      <c r="N63" s="17"/>
      <c r="O63" s="18" t="s">
        <v>1594</v>
      </c>
      <c r="P63" s="17"/>
      <c r="Q63" s="17"/>
      <c r="R63" s="22">
        <v>311</v>
      </c>
      <c r="S63" s="17"/>
      <c r="T63" s="16"/>
      <c r="U63" s="16"/>
      <c r="V63" s="17"/>
      <c r="W63" s="17"/>
      <c r="X63" s="17"/>
      <c r="Y63" s="17"/>
      <c r="Z63" s="17"/>
      <c r="AA63" s="22">
        <v>311</v>
      </c>
      <c r="AB63" s="17"/>
      <c r="AC63" s="17"/>
      <c r="AD63" s="17"/>
      <c r="AE63" s="16"/>
      <c r="AF63" s="16"/>
      <c r="AG63" s="17"/>
      <c r="AH63" s="16"/>
      <c r="AI63" s="16"/>
      <c r="AJ63" s="17"/>
      <c r="AK63" s="17"/>
      <c r="AL63" s="17"/>
      <c r="AM63" s="17"/>
      <c r="AN63" s="22">
        <v>145</v>
      </c>
      <c r="AO63" s="17"/>
      <c r="AP63" s="22">
        <v>58</v>
      </c>
      <c r="AQ63" s="17"/>
      <c r="AR63" s="17"/>
      <c r="AS63" s="17"/>
      <c r="AT63" s="17"/>
      <c r="AU63" s="17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t="s">
        <v>1856</v>
      </c>
      <c r="CD63" t="s">
        <v>1858</v>
      </c>
      <c r="CE63" t="s">
        <v>1559</v>
      </c>
      <c r="CF63" t="s">
        <v>28</v>
      </c>
      <c r="CG63" t="s">
        <v>1659</v>
      </c>
      <c r="CH63" t="s">
        <v>156</v>
      </c>
      <c r="CL63">
        <v>4</v>
      </c>
      <c r="CM63" t="s">
        <v>1944</v>
      </c>
      <c r="CN63">
        <v>2</v>
      </c>
      <c r="CO63" t="s">
        <v>1559</v>
      </c>
      <c r="CP63" t="s">
        <v>28</v>
      </c>
      <c r="CQ63" t="s">
        <v>1968</v>
      </c>
      <c r="CR63" t="s">
        <v>1969</v>
      </c>
      <c r="CS63" t="s">
        <v>121</v>
      </c>
    </row>
    <row r="64" spans="1:104" ht="16.350000000000001" customHeight="1" x14ac:dyDescent="0.25">
      <c r="A64" s="16"/>
      <c r="B64" s="16"/>
      <c r="C64" s="16"/>
      <c r="D64" s="16"/>
      <c r="E64" s="16"/>
      <c r="F64" s="16"/>
      <c r="G64" s="17"/>
      <c r="H64" s="17"/>
      <c r="I64" s="17"/>
      <c r="J64" s="17"/>
      <c r="K64" s="18" t="s">
        <v>1595</v>
      </c>
      <c r="L64" s="18" t="s">
        <v>324</v>
      </c>
      <c r="M64" s="17"/>
      <c r="N64" s="17"/>
      <c r="O64" s="18" t="s">
        <v>1595</v>
      </c>
      <c r="P64" s="17"/>
      <c r="Q64" s="17"/>
      <c r="R64" s="22">
        <v>312</v>
      </c>
      <c r="S64" s="17"/>
      <c r="T64" s="16"/>
      <c r="U64" s="16"/>
      <c r="V64" s="17"/>
      <c r="W64" s="17"/>
      <c r="X64" s="17"/>
      <c r="Y64" s="17"/>
      <c r="Z64" s="17"/>
      <c r="AA64" s="22">
        <v>312</v>
      </c>
      <c r="AB64" s="17"/>
      <c r="AC64" s="17"/>
      <c r="AD64" s="17"/>
      <c r="AE64" s="16"/>
      <c r="AF64" s="16"/>
      <c r="AG64" s="17"/>
      <c r="AH64" s="16"/>
      <c r="AI64" s="16"/>
      <c r="AJ64" s="17"/>
      <c r="AK64" s="17"/>
      <c r="AL64" s="17"/>
      <c r="AM64" s="17"/>
      <c r="AN64" s="22">
        <v>146</v>
      </c>
      <c r="AO64" s="17"/>
      <c r="AP64" s="22">
        <v>59</v>
      </c>
      <c r="AQ64" s="17"/>
      <c r="AR64" s="17"/>
      <c r="AS64" s="17"/>
      <c r="AT64" s="17"/>
      <c r="AU64" s="17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t="s">
        <v>1856</v>
      </c>
      <c r="CD64" t="s">
        <v>94</v>
      </c>
      <c r="CE64" t="s">
        <v>1559</v>
      </c>
      <c r="CF64" t="s">
        <v>15</v>
      </c>
      <c r="CG64" t="s">
        <v>1659</v>
      </c>
      <c r="CH64" t="s">
        <v>1830</v>
      </c>
      <c r="CL64">
        <v>5</v>
      </c>
      <c r="CM64" t="s">
        <v>1951</v>
      </c>
      <c r="CN64">
        <v>2</v>
      </c>
      <c r="CO64" t="s">
        <v>1559</v>
      </c>
      <c r="CP64" t="s">
        <v>15</v>
      </c>
      <c r="CQ64" t="s">
        <v>2011</v>
      </c>
      <c r="CR64" t="s">
        <v>2012</v>
      </c>
      <c r="CS64" t="s">
        <v>121</v>
      </c>
    </row>
    <row r="65" spans="1:97" ht="16.350000000000001" customHeight="1" x14ac:dyDescent="0.25">
      <c r="A65" s="16"/>
      <c r="B65" s="16"/>
      <c r="C65" s="16"/>
      <c r="D65" s="16"/>
      <c r="E65" s="16"/>
      <c r="F65" s="16"/>
      <c r="G65" s="17"/>
      <c r="H65" s="17"/>
      <c r="I65" s="17"/>
      <c r="J65" s="17"/>
      <c r="K65" s="18" t="s">
        <v>1596</v>
      </c>
      <c r="L65" s="18" t="s">
        <v>326</v>
      </c>
      <c r="M65" s="17"/>
      <c r="N65" s="17"/>
      <c r="O65" s="18" t="s">
        <v>1596</v>
      </c>
      <c r="P65" s="17"/>
      <c r="Q65" s="17"/>
      <c r="R65" s="22">
        <v>313</v>
      </c>
      <c r="S65" s="17"/>
      <c r="T65" s="16"/>
      <c r="U65" s="16"/>
      <c r="V65" s="17"/>
      <c r="W65" s="17"/>
      <c r="X65" s="17"/>
      <c r="Y65" s="17"/>
      <c r="Z65" s="17"/>
      <c r="AA65" s="22">
        <v>313</v>
      </c>
      <c r="AB65" s="17"/>
      <c r="AC65" s="17"/>
      <c r="AD65" s="17"/>
      <c r="AE65" s="16"/>
      <c r="AF65" s="16"/>
      <c r="AG65" s="17"/>
      <c r="AH65" s="16"/>
      <c r="AI65" s="16"/>
      <c r="AJ65" s="17"/>
      <c r="AK65" s="17"/>
      <c r="AL65" s="17"/>
      <c r="AM65" s="17"/>
      <c r="AN65" s="22">
        <v>147</v>
      </c>
      <c r="AO65" s="17"/>
      <c r="AP65" s="22">
        <v>6</v>
      </c>
      <c r="AQ65" s="17"/>
      <c r="AR65" s="17"/>
      <c r="AS65" s="17"/>
      <c r="AT65" s="17"/>
      <c r="AU65" s="17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t="s">
        <v>1856</v>
      </c>
      <c r="CD65" t="s">
        <v>1859</v>
      </c>
      <c r="CE65" t="s">
        <v>1559</v>
      </c>
      <c r="CF65" t="s">
        <v>16</v>
      </c>
      <c r="CG65" t="s">
        <v>1659</v>
      </c>
      <c r="CH65" t="s">
        <v>1839</v>
      </c>
      <c r="CL65">
        <v>6</v>
      </c>
      <c r="CM65" t="s">
        <v>1632</v>
      </c>
      <c r="CN65">
        <v>2</v>
      </c>
      <c r="CO65" t="s">
        <v>1559</v>
      </c>
      <c r="CP65" t="s">
        <v>16</v>
      </c>
      <c r="CQ65" t="s">
        <v>1980</v>
      </c>
      <c r="CR65" t="s">
        <v>2013</v>
      </c>
      <c r="CS65" t="s">
        <v>121</v>
      </c>
    </row>
    <row r="66" spans="1:97" ht="16.350000000000001" customHeight="1" x14ac:dyDescent="0.25">
      <c r="A66" s="16"/>
      <c r="B66" s="16"/>
      <c r="C66" s="16"/>
      <c r="D66" s="16"/>
      <c r="E66" s="16"/>
      <c r="F66" s="16"/>
      <c r="G66" s="17"/>
      <c r="H66" s="17"/>
      <c r="I66" s="17"/>
      <c r="J66" s="17"/>
      <c r="K66" s="18" t="s">
        <v>327</v>
      </c>
      <c r="L66" s="18" t="s">
        <v>328</v>
      </c>
      <c r="M66" s="17"/>
      <c r="N66" s="17"/>
      <c r="O66" s="18" t="s">
        <v>327</v>
      </c>
      <c r="P66" s="17"/>
      <c r="Q66" s="17"/>
      <c r="R66" s="22">
        <v>316</v>
      </c>
      <c r="S66" s="17"/>
      <c r="T66" s="16"/>
      <c r="U66" s="16"/>
      <c r="V66" s="17"/>
      <c r="W66" s="17"/>
      <c r="X66" s="17"/>
      <c r="Y66" s="17"/>
      <c r="Z66" s="17"/>
      <c r="AA66" s="22">
        <v>316</v>
      </c>
      <c r="AB66" s="17"/>
      <c r="AC66" s="17"/>
      <c r="AD66" s="17"/>
      <c r="AE66" s="16"/>
      <c r="AF66" s="16"/>
      <c r="AG66" s="17"/>
      <c r="AH66" s="16"/>
      <c r="AI66" s="16"/>
      <c r="AJ66" s="17"/>
      <c r="AK66" s="17"/>
      <c r="AL66" s="17"/>
      <c r="AM66" s="17"/>
      <c r="AN66" s="22">
        <v>148</v>
      </c>
      <c r="AO66" s="17"/>
      <c r="AP66" s="22">
        <v>61</v>
      </c>
      <c r="AQ66" s="17"/>
      <c r="AR66" s="17"/>
      <c r="AS66" s="17"/>
      <c r="AT66" s="17"/>
      <c r="AU66" s="17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t="s">
        <v>1856</v>
      </c>
      <c r="CD66" t="s">
        <v>1860</v>
      </c>
      <c r="CE66" t="s">
        <v>1559</v>
      </c>
      <c r="CF66" t="s">
        <v>1709</v>
      </c>
      <c r="CG66" t="s">
        <v>1659</v>
      </c>
      <c r="CH66" t="s">
        <v>1841</v>
      </c>
      <c r="CL66">
        <v>7</v>
      </c>
      <c r="CM66" t="s">
        <v>1660</v>
      </c>
      <c r="CN66">
        <v>2</v>
      </c>
      <c r="CO66" t="s">
        <v>1559</v>
      </c>
      <c r="CP66" t="s">
        <v>1709</v>
      </c>
      <c r="CQ66" t="s">
        <v>1982</v>
      </c>
      <c r="CR66" t="s">
        <v>2014</v>
      </c>
      <c r="CS66" t="s">
        <v>121</v>
      </c>
    </row>
    <row r="67" spans="1:97" ht="16.350000000000001" customHeight="1" x14ac:dyDescent="0.25">
      <c r="A67" s="16"/>
      <c r="B67" s="16"/>
      <c r="C67" s="16"/>
      <c r="D67" s="16"/>
      <c r="E67" s="16"/>
      <c r="F67" s="16"/>
      <c r="G67" s="17"/>
      <c r="H67" s="17"/>
      <c r="I67" s="17"/>
      <c r="J67" s="17"/>
      <c r="K67" s="18" t="s">
        <v>1597</v>
      </c>
      <c r="L67" s="18" t="s">
        <v>330</v>
      </c>
      <c r="M67" s="17"/>
      <c r="N67" s="17"/>
      <c r="O67" s="18" t="s">
        <v>1597</v>
      </c>
      <c r="P67" s="17"/>
      <c r="Q67" s="17"/>
      <c r="R67" s="22">
        <v>317</v>
      </c>
      <c r="S67" s="17"/>
      <c r="T67" s="16"/>
      <c r="U67" s="16"/>
      <c r="V67" s="17"/>
      <c r="W67" s="17"/>
      <c r="X67" s="17"/>
      <c r="Y67" s="17"/>
      <c r="Z67" s="17"/>
      <c r="AA67" s="22">
        <v>317</v>
      </c>
      <c r="AB67" s="17"/>
      <c r="AC67" s="17"/>
      <c r="AD67" s="17"/>
      <c r="AE67" s="16"/>
      <c r="AF67" s="16"/>
      <c r="AG67" s="17"/>
      <c r="AH67" s="16"/>
      <c r="AI67" s="16"/>
      <c r="AJ67" s="17"/>
      <c r="AK67" s="17"/>
      <c r="AL67" s="17"/>
      <c r="AM67" s="17"/>
      <c r="AN67" s="22">
        <v>149</v>
      </c>
      <c r="AO67" s="17"/>
      <c r="AP67" s="22">
        <v>63</v>
      </c>
      <c r="AQ67" s="17"/>
      <c r="AR67" s="17"/>
      <c r="AS67" s="17"/>
      <c r="AT67" s="17"/>
      <c r="AU67" s="17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t="s">
        <v>1856</v>
      </c>
      <c r="CD67" t="s">
        <v>1861</v>
      </c>
      <c r="CE67" t="s">
        <v>1559</v>
      </c>
      <c r="CF67" t="s">
        <v>1710</v>
      </c>
      <c r="CG67" t="s">
        <v>1659</v>
      </c>
      <c r="CH67" t="s">
        <v>1847</v>
      </c>
      <c r="CL67">
        <v>8</v>
      </c>
      <c r="CM67" t="s">
        <v>125</v>
      </c>
      <c r="CN67">
        <v>2</v>
      </c>
      <c r="CO67" t="s">
        <v>1559</v>
      </c>
      <c r="CP67" t="s">
        <v>1710</v>
      </c>
      <c r="CQ67" t="s">
        <v>1989</v>
      </c>
      <c r="CR67" t="s">
        <v>2015</v>
      </c>
      <c r="CS67" t="s">
        <v>121</v>
      </c>
    </row>
    <row r="68" spans="1:97" ht="16.350000000000001" customHeight="1" x14ac:dyDescent="0.25">
      <c r="A68" s="16"/>
      <c r="B68" s="16"/>
      <c r="C68" s="16"/>
      <c r="D68" s="16"/>
      <c r="E68" s="16"/>
      <c r="F68" s="16"/>
      <c r="G68" s="17"/>
      <c r="H68" s="17"/>
      <c r="I68" s="17"/>
      <c r="J68" s="17"/>
      <c r="K68" s="18" t="s">
        <v>1598</v>
      </c>
      <c r="L68" s="18" t="s">
        <v>331</v>
      </c>
      <c r="M68" s="17"/>
      <c r="N68" s="17"/>
      <c r="O68" s="18" t="s">
        <v>1598</v>
      </c>
      <c r="P68" s="17"/>
      <c r="Q68" s="17"/>
      <c r="R68" s="22">
        <v>318</v>
      </c>
      <c r="S68" s="17"/>
      <c r="T68" s="16"/>
      <c r="U68" s="16"/>
      <c r="V68" s="17"/>
      <c r="W68" s="17"/>
      <c r="X68" s="17"/>
      <c r="Y68" s="17"/>
      <c r="Z68" s="17"/>
      <c r="AA68" s="22">
        <v>318</v>
      </c>
      <c r="AB68" s="17"/>
      <c r="AC68" s="17"/>
      <c r="AD68" s="17"/>
      <c r="AE68" s="16"/>
      <c r="AF68" s="16"/>
      <c r="AG68" s="17"/>
      <c r="AH68" s="16"/>
      <c r="AI68" s="16"/>
      <c r="AJ68" s="17"/>
      <c r="AK68" s="17"/>
      <c r="AL68" s="17"/>
      <c r="AM68" s="17"/>
      <c r="AN68" s="22">
        <v>15</v>
      </c>
      <c r="AO68" s="17"/>
      <c r="AP68" s="22">
        <v>64</v>
      </c>
      <c r="AQ68" s="17"/>
      <c r="AR68" s="17"/>
      <c r="AS68" s="17"/>
      <c r="AT68" s="17"/>
      <c r="AU68" s="17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t="s">
        <v>1856</v>
      </c>
      <c r="CD68" t="s">
        <v>1862</v>
      </c>
      <c r="CE68" t="s">
        <v>1559</v>
      </c>
      <c r="CF68" t="s">
        <v>36</v>
      </c>
      <c r="CG68" t="s">
        <v>1659</v>
      </c>
      <c r="CH68" t="s">
        <v>1839</v>
      </c>
      <c r="CL68">
        <v>9</v>
      </c>
      <c r="CM68" t="s">
        <v>135</v>
      </c>
      <c r="CN68">
        <v>2</v>
      </c>
      <c r="CO68" t="s">
        <v>1559</v>
      </c>
      <c r="CP68" t="s">
        <v>36</v>
      </c>
      <c r="CQ68" t="s">
        <v>1980</v>
      </c>
      <c r="CR68" t="s">
        <v>2016</v>
      </c>
      <c r="CS68" t="s">
        <v>121</v>
      </c>
    </row>
    <row r="69" spans="1:97" ht="16.350000000000001" customHeight="1" x14ac:dyDescent="0.25">
      <c r="A69" s="16"/>
      <c r="B69" s="16"/>
      <c r="C69" s="16"/>
      <c r="D69" s="16"/>
      <c r="E69" s="16"/>
      <c r="F69" s="16"/>
      <c r="G69" s="17"/>
      <c r="H69" s="17"/>
      <c r="I69" s="17"/>
      <c r="J69" s="17"/>
      <c r="K69" s="18" t="s">
        <v>1599</v>
      </c>
      <c r="L69" s="18" t="s">
        <v>332</v>
      </c>
      <c r="M69" s="17"/>
      <c r="N69" s="17"/>
      <c r="O69" s="18" t="s">
        <v>1599</v>
      </c>
      <c r="P69" s="17"/>
      <c r="Q69" s="17"/>
      <c r="R69" s="22">
        <v>320</v>
      </c>
      <c r="S69" s="17"/>
      <c r="T69" s="16"/>
      <c r="U69" s="16"/>
      <c r="V69" s="17"/>
      <c r="W69" s="17"/>
      <c r="X69" s="17"/>
      <c r="Y69" s="17"/>
      <c r="Z69" s="17"/>
      <c r="AA69" s="22">
        <v>320</v>
      </c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22">
        <v>150</v>
      </c>
      <c r="AO69" s="17"/>
      <c r="AP69" s="22">
        <v>65</v>
      </c>
      <c r="AQ69" s="17"/>
      <c r="AR69" s="17"/>
      <c r="AS69" s="17"/>
      <c r="AT69" s="17"/>
      <c r="AU69" s="17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t="s">
        <v>1856</v>
      </c>
      <c r="CD69" t="s">
        <v>1863</v>
      </c>
      <c r="CE69" t="s">
        <v>1559</v>
      </c>
      <c r="CF69" t="s">
        <v>1718</v>
      </c>
      <c r="CG69" t="s">
        <v>1659</v>
      </c>
      <c r="CH69" t="s">
        <v>1841</v>
      </c>
      <c r="CL69">
        <v>10</v>
      </c>
      <c r="CM69" t="s">
        <v>1661</v>
      </c>
      <c r="CN69">
        <v>2</v>
      </c>
      <c r="CO69" t="s">
        <v>1559</v>
      </c>
      <c r="CP69" t="s">
        <v>1718</v>
      </c>
      <c r="CQ69" t="s">
        <v>1982</v>
      </c>
      <c r="CR69" t="s">
        <v>2017</v>
      </c>
      <c r="CS69" t="s">
        <v>121</v>
      </c>
    </row>
    <row r="70" spans="1:97" ht="16.350000000000001" customHeight="1" x14ac:dyDescent="0.25">
      <c r="A70" s="16"/>
      <c r="B70" s="16"/>
      <c r="C70" s="16"/>
      <c r="D70" s="16"/>
      <c r="E70" s="16"/>
      <c r="F70" s="16"/>
      <c r="G70" s="17"/>
      <c r="H70" s="17"/>
      <c r="I70" s="17"/>
      <c r="J70" s="17"/>
      <c r="K70" s="18" t="s">
        <v>1600</v>
      </c>
      <c r="L70" s="18" t="s">
        <v>334</v>
      </c>
      <c r="M70" s="17"/>
      <c r="N70" s="17"/>
      <c r="O70" s="18" t="s">
        <v>1600</v>
      </c>
      <c r="P70" s="17"/>
      <c r="Q70" s="17"/>
      <c r="R70" s="22">
        <v>321</v>
      </c>
      <c r="S70" s="17"/>
      <c r="T70" s="17"/>
      <c r="U70" s="17"/>
      <c r="V70" s="17"/>
      <c r="W70" s="17"/>
      <c r="X70" s="17"/>
      <c r="Y70" s="17"/>
      <c r="Z70" s="17"/>
      <c r="AA70" s="22">
        <v>321</v>
      </c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22">
        <v>151</v>
      </c>
      <c r="AO70" s="17"/>
      <c r="AP70" s="22">
        <v>66</v>
      </c>
      <c r="AQ70" s="17"/>
      <c r="AR70" s="17"/>
      <c r="AS70" s="17"/>
      <c r="AT70" s="17"/>
      <c r="AU70" s="17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t="s">
        <v>1856</v>
      </c>
      <c r="CD70" t="s">
        <v>1864</v>
      </c>
      <c r="CE70" t="s">
        <v>1559</v>
      </c>
      <c r="CF70" t="s">
        <v>1719</v>
      </c>
      <c r="CG70" t="s">
        <v>1659</v>
      </c>
      <c r="CH70" t="s">
        <v>1847</v>
      </c>
      <c r="CL70">
        <v>11</v>
      </c>
      <c r="CM70" t="s">
        <v>1662</v>
      </c>
      <c r="CN70">
        <v>2</v>
      </c>
      <c r="CO70" t="s">
        <v>1559</v>
      </c>
      <c r="CP70" t="s">
        <v>1719</v>
      </c>
      <c r="CQ70" t="s">
        <v>1989</v>
      </c>
      <c r="CR70" t="s">
        <v>2018</v>
      </c>
      <c r="CS70" t="s">
        <v>121</v>
      </c>
    </row>
    <row r="71" spans="1:97" ht="16.350000000000001" customHeight="1" x14ac:dyDescent="0.25">
      <c r="A71" s="16"/>
      <c r="B71" s="16"/>
      <c r="C71" s="16"/>
      <c r="D71" s="16"/>
      <c r="E71" s="16"/>
      <c r="F71" s="16"/>
      <c r="G71" s="17"/>
      <c r="H71" s="17"/>
      <c r="I71" s="17"/>
      <c r="J71" s="17"/>
      <c r="K71" s="18" t="s">
        <v>1601</v>
      </c>
      <c r="L71" s="18" t="s">
        <v>335</v>
      </c>
      <c r="M71" s="17"/>
      <c r="N71" s="17"/>
      <c r="O71" s="18" t="s">
        <v>1601</v>
      </c>
      <c r="P71" s="17"/>
      <c r="Q71" s="17"/>
      <c r="R71" s="22">
        <v>323</v>
      </c>
      <c r="S71" s="17"/>
      <c r="T71" s="17"/>
      <c r="U71" s="17"/>
      <c r="V71" s="17"/>
      <c r="W71" s="17"/>
      <c r="X71" s="17"/>
      <c r="Y71" s="17"/>
      <c r="Z71" s="17"/>
      <c r="AA71" s="22">
        <v>323</v>
      </c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22">
        <v>152</v>
      </c>
      <c r="AO71" s="17"/>
      <c r="AP71" s="22">
        <v>67</v>
      </c>
      <c r="AQ71" s="17"/>
      <c r="AR71" s="17"/>
      <c r="AS71" s="17"/>
      <c r="AT71" s="17"/>
      <c r="AU71" s="17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t="s">
        <v>1856</v>
      </c>
      <c r="CD71" t="s">
        <v>1865</v>
      </c>
      <c r="CE71" t="s">
        <v>1559</v>
      </c>
      <c r="CF71" t="s">
        <v>37</v>
      </c>
      <c r="CG71" t="s">
        <v>1659</v>
      </c>
      <c r="CH71" t="s">
        <v>1844</v>
      </c>
      <c r="CL71">
        <v>12</v>
      </c>
      <c r="CM71" t="s">
        <v>1663</v>
      </c>
      <c r="CN71">
        <v>2</v>
      </c>
      <c r="CO71" t="s">
        <v>1559</v>
      </c>
      <c r="CP71" t="s">
        <v>37</v>
      </c>
      <c r="CQ71" t="s">
        <v>1980</v>
      </c>
      <c r="CR71" t="s">
        <v>1981</v>
      </c>
      <c r="CS71" t="s">
        <v>121</v>
      </c>
    </row>
    <row r="72" spans="1:97" ht="16.350000000000001" customHeight="1" x14ac:dyDescent="0.25">
      <c r="A72" s="16"/>
      <c r="B72" s="16"/>
      <c r="C72" s="16"/>
      <c r="D72" s="16"/>
      <c r="E72" s="16"/>
      <c r="F72" s="16"/>
      <c r="G72" s="17"/>
      <c r="H72" s="17"/>
      <c r="I72" s="17"/>
      <c r="J72" s="17"/>
      <c r="K72" s="18" t="s">
        <v>1602</v>
      </c>
      <c r="L72" s="18" t="s">
        <v>336</v>
      </c>
      <c r="M72" s="17"/>
      <c r="N72" s="17"/>
      <c r="O72" s="18" t="s">
        <v>1602</v>
      </c>
      <c r="P72" s="17"/>
      <c r="Q72" s="17"/>
      <c r="R72" s="22">
        <v>324</v>
      </c>
      <c r="S72" s="17"/>
      <c r="T72" s="17"/>
      <c r="U72" s="17"/>
      <c r="V72" s="17"/>
      <c r="W72" s="17"/>
      <c r="X72" s="17"/>
      <c r="Y72" s="17"/>
      <c r="Z72" s="17"/>
      <c r="AA72" s="22">
        <v>324</v>
      </c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22">
        <v>153</v>
      </c>
      <c r="AO72" s="17"/>
      <c r="AP72" s="22">
        <v>68</v>
      </c>
      <c r="AQ72" s="17"/>
      <c r="AR72" s="17"/>
      <c r="AS72" s="17"/>
      <c r="AT72" s="17"/>
      <c r="AU72" s="17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t="s">
        <v>1856</v>
      </c>
      <c r="CD72" t="s">
        <v>1866</v>
      </c>
      <c r="CE72" t="s">
        <v>1559</v>
      </c>
      <c r="CF72" t="s">
        <v>1720</v>
      </c>
      <c r="CG72" t="s">
        <v>1659</v>
      </c>
      <c r="CH72" t="s">
        <v>1841</v>
      </c>
      <c r="CL72">
        <v>13</v>
      </c>
      <c r="CM72" t="s">
        <v>145</v>
      </c>
      <c r="CN72">
        <v>2</v>
      </c>
      <c r="CO72" t="s">
        <v>1559</v>
      </c>
      <c r="CP72" t="s">
        <v>1720</v>
      </c>
      <c r="CQ72" t="s">
        <v>1982</v>
      </c>
      <c r="CR72" t="s">
        <v>1983</v>
      </c>
      <c r="CS72" t="s">
        <v>121</v>
      </c>
    </row>
    <row r="73" spans="1:97" ht="16.350000000000001" customHeight="1" x14ac:dyDescent="0.25">
      <c r="A73" s="16"/>
      <c r="B73" s="16"/>
      <c r="C73" s="16"/>
      <c r="D73" s="16"/>
      <c r="E73" s="16"/>
      <c r="F73" s="16"/>
      <c r="G73" s="17"/>
      <c r="H73" s="17"/>
      <c r="I73" s="17"/>
      <c r="J73" s="17"/>
      <c r="K73" s="18" t="s">
        <v>1603</v>
      </c>
      <c r="L73" s="18" t="s">
        <v>337</v>
      </c>
      <c r="M73" s="17"/>
      <c r="N73" s="17"/>
      <c r="O73" s="18" t="s">
        <v>1603</v>
      </c>
      <c r="P73" s="17"/>
      <c r="Q73" s="17"/>
      <c r="R73" s="22">
        <v>325</v>
      </c>
      <c r="S73" s="17"/>
      <c r="T73" s="17"/>
      <c r="U73" s="17"/>
      <c r="V73" s="17"/>
      <c r="W73" s="17"/>
      <c r="X73" s="17"/>
      <c r="Y73" s="17"/>
      <c r="Z73" s="17"/>
      <c r="AA73" s="22">
        <v>325</v>
      </c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22">
        <v>154</v>
      </c>
      <c r="AO73" s="17"/>
      <c r="AP73" s="22">
        <v>69</v>
      </c>
      <c r="AQ73" s="17"/>
      <c r="AR73" s="17"/>
      <c r="AS73" s="17"/>
      <c r="AT73" s="17"/>
      <c r="AU73" s="17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t="s">
        <v>1856</v>
      </c>
      <c r="CD73" t="s">
        <v>1867</v>
      </c>
      <c r="CE73" t="s">
        <v>1559</v>
      </c>
      <c r="CF73" t="s">
        <v>1721</v>
      </c>
      <c r="CG73" t="s">
        <v>1659</v>
      </c>
      <c r="CH73" t="s">
        <v>1847</v>
      </c>
      <c r="CL73">
        <v>14</v>
      </c>
      <c r="CM73" t="s">
        <v>1664</v>
      </c>
      <c r="CN73">
        <v>2</v>
      </c>
      <c r="CO73" t="s">
        <v>1559</v>
      </c>
      <c r="CP73" t="s">
        <v>1721</v>
      </c>
      <c r="CQ73" t="s">
        <v>1989</v>
      </c>
      <c r="CR73" t="s">
        <v>2019</v>
      </c>
      <c r="CS73" t="s">
        <v>121</v>
      </c>
    </row>
    <row r="74" spans="1:97" ht="16.350000000000001" customHeight="1" x14ac:dyDescent="0.25">
      <c r="A74" s="16"/>
      <c r="B74" s="16"/>
      <c r="C74" s="16"/>
      <c r="D74" s="16"/>
      <c r="E74" s="16"/>
      <c r="F74" s="16"/>
      <c r="G74" s="17"/>
      <c r="H74" s="17"/>
      <c r="I74" s="17"/>
      <c r="J74" s="17"/>
      <c r="K74" s="18" t="s">
        <v>1604</v>
      </c>
      <c r="L74" s="18" t="s">
        <v>338</v>
      </c>
      <c r="M74" s="17"/>
      <c r="N74" s="17"/>
      <c r="O74" s="18" t="s">
        <v>1604</v>
      </c>
      <c r="P74" s="17"/>
      <c r="Q74" s="17"/>
      <c r="R74" s="22">
        <v>326</v>
      </c>
      <c r="S74" s="17"/>
      <c r="T74" s="17"/>
      <c r="U74" s="17"/>
      <c r="V74" s="17"/>
      <c r="W74" s="17"/>
      <c r="X74" s="17"/>
      <c r="Y74" s="17"/>
      <c r="Z74" s="17"/>
      <c r="AA74" s="22">
        <v>326</v>
      </c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22">
        <v>155</v>
      </c>
      <c r="AO74" s="17"/>
      <c r="AP74" s="22">
        <v>7</v>
      </c>
      <c r="AQ74" s="17"/>
      <c r="AR74" s="17"/>
      <c r="AS74" s="17"/>
      <c r="AT74" s="17"/>
      <c r="AU74" s="17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t="s">
        <v>1856</v>
      </c>
      <c r="CD74" t="s">
        <v>1868</v>
      </c>
      <c r="CE74" t="s">
        <v>1559</v>
      </c>
      <c r="CF74" t="s">
        <v>38</v>
      </c>
      <c r="CG74" t="s">
        <v>1659</v>
      </c>
      <c r="CH74" t="s">
        <v>1844</v>
      </c>
      <c r="CL74">
        <v>15</v>
      </c>
      <c r="CM74" t="s">
        <v>1665</v>
      </c>
      <c r="CN74">
        <v>2</v>
      </c>
      <c r="CO74" t="s">
        <v>1559</v>
      </c>
      <c r="CP74" t="s">
        <v>38</v>
      </c>
      <c r="CQ74" t="s">
        <v>1980</v>
      </c>
      <c r="CR74" t="s">
        <v>1986</v>
      </c>
      <c r="CS74" t="s">
        <v>121</v>
      </c>
    </row>
    <row r="75" spans="1:97" ht="16.350000000000001" customHeight="1" x14ac:dyDescent="0.25">
      <c r="A75" s="16"/>
      <c r="B75" s="16"/>
      <c r="C75" s="16"/>
      <c r="D75" s="16"/>
      <c r="E75" s="16"/>
      <c r="F75" s="16"/>
      <c r="G75" s="17"/>
      <c r="H75" s="17"/>
      <c r="I75" s="17"/>
      <c r="J75" s="17"/>
      <c r="K75" s="18" t="s">
        <v>1605</v>
      </c>
      <c r="L75" s="18" t="s">
        <v>339</v>
      </c>
      <c r="M75" s="17"/>
      <c r="N75" s="17"/>
      <c r="O75" s="18" t="s">
        <v>1605</v>
      </c>
      <c r="P75" s="17"/>
      <c r="Q75" s="17"/>
      <c r="R75" s="22">
        <v>327</v>
      </c>
      <c r="S75" s="17"/>
      <c r="T75" s="17"/>
      <c r="U75" s="17"/>
      <c r="V75" s="17"/>
      <c r="W75" s="17"/>
      <c r="X75" s="17"/>
      <c r="Y75" s="17"/>
      <c r="Z75" s="17"/>
      <c r="AA75" s="22">
        <v>327</v>
      </c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22">
        <v>156</v>
      </c>
      <c r="AO75" s="17"/>
      <c r="AP75" s="22">
        <v>70</v>
      </c>
      <c r="AQ75" s="17"/>
      <c r="AR75" s="17"/>
      <c r="AS75" s="17"/>
      <c r="AT75" s="17"/>
      <c r="AU75" s="17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t="s">
        <v>1856</v>
      </c>
      <c r="CD75" t="s">
        <v>1869</v>
      </c>
      <c r="CE75" t="s">
        <v>1559</v>
      </c>
      <c r="CF75" t="s">
        <v>1722</v>
      </c>
      <c r="CG75" t="s">
        <v>1659</v>
      </c>
      <c r="CH75" t="s">
        <v>1841</v>
      </c>
      <c r="CL75">
        <v>16</v>
      </c>
      <c r="CM75" t="s">
        <v>1666</v>
      </c>
      <c r="CN75">
        <v>2</v>
      </c>
      <c r="CO75" t="s">
        <v>1559</v>
      </c>
      <c r="CP75" t="s">
        <v>1722</v>
      </c>
      <c r="CQ75" t="s">
        <v>1982</v>
      </c>
      <c r="CR75" t="s">
        <v>2020</v>
      </c>
      <c r="CS75" t="s">
        <v>121</v>
      </c>
    </row>
    <row r="76" spans="1:97" ht="16.350000000000001" customHeight="1" x14ac:dyDescent="0.25">
      <c r="A76" s="16"/>
      <c r="B76" s="16"/>
      <c r="C76" s="16"/>
      <c r="D76" s="16"/>
      <c r="E76" s="16"/>
      <c r="F76" s="16"/>
      <c r="G76" s="17"/>
      <c r="H76" s="17"/>
      <c r="I76" s="17"/>
      <c r="J76" s="17"/>
      <c r="K76" s="18" t="s">
        <v>1606</v>
      </c>
      <c r="L76" s="18" t="s">
        <v>340</v>
      </c>
      <c r="M76" s="17"/>
      <c r="N76" s="17"/>
      <c r="O76" s="18" t="s">
        <v>1606</v>
      </c>
      <c r="P76" s="17"/>
      <c r="Q76" s="17"/>
      <c r="R76" s="22">
        <v>328</v>
      </c>
      <c r="S76" s="17"/>
      <c r="T76" s="17"/>
      <c r="U76" s="17"/>
      <c r="V76" s="17"/>
      <c r="W76" s="17"/>
      <c r="X76" s="17"/>
      <c r="Y76" s="17"/>
      <c r="Z76" s="17"/>
      <c r="AA76" s="22">
        <v>328</v>
      </c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22">
        <v>157</v>
      </c>
      <c r="AO76" s="17"/>
      <c r="AP76" s="22">
        <v>71</v>
      </c>
      <c r="AQ76" s="17"/>
      <c r="AR76" s="17"/>
      <c r="AS76" s="17"/>
      <c r="AT76" s="17"/>
      <c r="AU76" s="17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t="s">
        <v>1856</v>
      </c>
      <c r="CD76" t="s">
        <v>1870</v>
      </c>
      <c r="CE76" t="s">
        <v>1559</v>
      </c>
      <c r="CF76" t="s">
        <v>1723</v>
      </c>
      <c r="CG76" t="s">
        <v>1659</v>
      </c>
      <c r="CH76" t="s">
        <v>1847</v>
      </c>
      <c r="CL76">
        <v>17</v>
      </c>
      <c r="CM76" t="s">
        <v>1667</v>
      </c>
      <c r="CN76">
        <v>2</v>
      </c>
      <c r="CO76" t="s">
        <v>1559</v>
      </c>
      <c r="CP76" t="s">
        <v>1723</v>
      </c>
      <c r="CQ76" t="s">
        <v>1989</v>
      </c>
      <c r="CR76" t="s">
        <v>1990</v>
      </c>
      <c r="CS76" t="s">
        <v>121</v>
      </c>
    </row>
    <row r="77" spans="1:97" ht="16.350000000000001" customHeight="1" x14ac:dyDescent="0.25">
      <c r="A77" s="16"/>
      <c r="B77" s="16"/>
      <c r="C77" s="16"/>
      <c r="D77" s="16"/>
      <c r="E77" s="16"/>
      <c r="F77" s="16"/>
      <c r="G77" s="17"/>
      <c r="H77" s="17"/>
      <c r="I77" s="17"/>
      <c r="J77" s="17"/>
      <c r="K77" s="18" t="s">
        <v>1607</v>
      </c>
      <c r="L77" s="18" t="s">
        <v>341</v>
      </c>
      <c r="M77" s="17"/>
      <c r="N77" s="17"/>
      <c r="O77" s="18" t="s">
        <v>1607</v>
      </c>
      <c r="P77" s="17"/>
      <c r="Q77" s="17"/>
      <c r="R77" s="22">
        <v>329</v>
      </c>
      <c r="S77" s="17"/>
      <c r="T77" s="17"/>
      <c r="U77" s="17"/>
      <c r="V77" s="17"/>
      <c r="W77" s="17"/>
      <c r="X77" s="17"/>
      <c r="Y77" s="17"/>
      <c r="Z77" s="17"/>
      <c r="AA77" s="22">
        <v>329</v>
      </c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22">
        <v>158</v>
      </c>
      <c r="AO77" s="17"/>
      <c r="AP77" s="22">
        <v>72</v>
      </c>
      <c r="AQ77" s="17"/>
      <c r="AR77" s="17"/>
      <c r="AS77" s="17"/>
      <c r="AT77" s="17"/>
      <c r="AU77" s="17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t="s">
        <v>1856</v>
      </c>
      <c r="CD77" t="s">
        <v>1871</v>
      </c>
      <c r="CE77" t="s">
        <v>1559</v>
      </c>
      <c r="CF77" t="s">
        <v>39</v>
      </c>
      <c r="CG77" t="s">
        <v>1659</v>
      </c>
      <c r="CH77" t="s">
        <v>1844</v>
      </c>
      <c r="CL77">
        <v>18</v>
      </c>
      <c r="CM77" t="s">
        <v>1668</v>
      </c>
      <c r="CN77">
        <v>2</v>
      </c>
      <c r="CO77" t="s">
        <v>1559</v>
      </c>
      <c r="CP77" t="s">
        <v>39</v>
      </c>
      <c r="CQ77" t="s">
        <v>1980</v>
      </c>
      <c r="CR77" t="s">
        <v>1991</v>
      </c>
      <c r="CS77" t="s">
        <v>121</v>
      </c>
    </row>
    <row r="78" spans="1:97" ht="16.350000000000001" customHeight="1" x14ac:dyDescent="0.25">
      <c r="A78" s="16"/>
      <c r="B78" s="16"/>
      <c r="C78" s="16"/>
      <c r="D78" s="16"/>
      <c r="E78" s="16"/>
      <c r="F78" s="16"/>
      <c r="G78" s="17"/>
      <c r="H78" s="17"/>
      <c r="I78" s="17"/>
      <c r="J78" s="17"/>
      <c r="K78" s="18" t="s">
        <v>1608</v>
      </c>
      <c r="L78" s="18" t="s">
        <v>342</v>
      </c>
      <c r="M78" s="17"/>
      <c r="N78" s="17"/>
      <c r="O78" s="18" t="s">
        <v>1608</v>
      </c>
      <c r="P78" s="17"/>
      <c r="Q78" s="17"/>
      <c r="R78" s="22">
        <v>330</v>
      </c>
      <c r="S78" s="17"/>
      <c r="T78" s="17"/>
      <c r="U78" s="17"/>
      <c r="V78" s="17"/>
      <c r="W78" s="17"/>
      <c r="X78" s="17"/>
      <c r="Y78" s="17"/>
      <c r="Z78" s="17"/>
      <c r="AA78" s="22">
        <v>330</v>
      </c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22">
        <v>159</v>
      </c>
      <c r="AO78" s="17"/>
      <c r="AP78" s="22">
        <v>73</v>
      </c>
      <c r="AQ78" s="17"/>
      <c r="AR78" s="17"/>
      <c r="AS78" s="17"/>
      <c r="AT78" s="17"/>
      <c r="AU78" s="17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t="s">
        <v>1856</v>
      </c>
      <c r="CD78" t="s">
        <v>1872</v>
      </c>
      <c r="CE78" t="s">
        <v>1559</v>
      </c>
      <c r="CF78" t="s">
        <v>1724</v>
      </c>
      <c r="CG78" t="s">
        <v>1659</v>
      </c>
      <c r="CH78" t="s">
        <v>1841</v>
      </c>
      <c r="CL78">
        <v>19</v>
      </c>
      <c r="CM78" t="s">
        <v>1669</v>
      </c>
      <c r="CN78">
        <v>2</v>
      </c>
      <c r="CO78" t="s">
        <v>1559</v>
      </c>
      <c r="CP78" t="s">
        <v>1724</v>
      </c>
      <c r="CQ78" t="s">
        <v>1982</v>
      </c>
      <c r="CR78" t="s">
        <v>2021</v>
      </c>
      <c r="CS78" t="s">
        <v>121</v>
      </c>
    </row>
    <row r="79" spans="1:97" ht="16.350000000000001" customHeight="1" x14ac:dyDescent="0.25">
      <c r="A79" s="16"/>
      <c r="B79" s="16"/>
      <c r="C79" s="16"/>
      <c r="D79" s="16"/>
      <c r="E79" s="16"/>
      <c r="F79" s="16"/>
      <c r="G79" s="17"/>
      <c r="H79" s="17"/>
      <c r="I79" s="17"/>
      <c r="J79" s="17"/>
      <c r="K79" s="18" t="s">
        <v>1609</v>
      </c>
      <c r="L79" s="18" t="s">
        <v>343</v>
      </c>
      <c r="M79" s="17"/>
      <c r="N79" s="17"/>
      <c r="O79" s="18" t="s">
        <v>1609</v>
      </c>
      <c r="P79" s="17"/>
      <c r="Q79" s="17"/>
      <c r="R79" s="22">
        <v>331</v>
      </c>
      <c r="S79" s="17"/>
      <c r="T79" s="17"/>
      <c r="U79" s="17"/>
      <c r="V79" s="17"/>
      <c r="W79" s="17"/>
      <c r="X79" s="17"/>
      <c r="Y79" s="17"/>
      <c r="Z79" s="17"/>
      <c r="AA79" s="22">
        <v>331</v>
      </c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22">
        <v>16</v>
      </c>
      <c r="AO79" s="17"/>
      <c r="AP79" s="22">
        <v>74</v>
      </c>
      <c r="AQ79" s="17"/>
      <c r="AR79" s="17"/>
      <c r="AS79" s="17"/>
      <c r="AT79" s="17"/>
      <c r="AU79" s="17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t="s">
        <v>1856</v>
      </c>
      <c r="CD79" t="s">
        <v>1873</v>
      </c>
      <c r="CE79" t="s">
        <v>1559</v>
      </c>
      <c r="CF79" t="s">
        <v>1725</v>
      </c>
      <c r="CG79" t="s">
        <v>1659</v>
      </c>
      <c r="CH79" t="s">
        <v>1847</v>
      </c>
      <c r="CL79">
        <v>20</v>
      </c>
      <c r="CM79" t="s">
        <v>1670</v>
      </c>
      <c r="CN79">
        <v>2</v>
      </c>
      <c r="CO79" t="s">
        <v>1559</v>
      </c>
      <c r="CP79" t="s">
        <v>1725</v>
      </c>
      <c r="CQ79" t="s">
        <v>1989</v>
      </c>
      <c r="CR79" t="s">
        <v>1993</v>
      </c>
      <c r="CS79" t="s">
        <v>121</v>
      </c>
    </row>
    <row r="80" spans="1:97" ht="16.350000000000001" customHeight="1" x14ac:dyDescent="0.25">
      <c r="A80" s="16"/>
      <c r="B80" s="16"/>
      <c r="C80" s="16"/>
      <c r="D80" s="16"/>
      <c r="E80" s="16"/>
      <c r="F80" s="16"/>
      <c r="G80" s="17"/>
      <c r="H80" s="17"/>
      <c r="I80" s="17"/>
      <c r="J80" s="17"/>
      <c r="K80" s="18" t="s">
        <v>1610</v>
      </c>
      <c r="L80" s="18" t="s">
        <v>344</v>
      </c>
      <c r="M80" s="17"/>
      <c r="N80" s="17"/>
      <c r="O80" s="18" t="s">
        <v>1610</v>
      </c>
      <c r="P80" s="17"/>
      <c r="Q80" s="17"/>
      <c r="R80" s="22">
        <v>332</v>
      </c>
      <c r="S80" s="17"/>
      <c r="T80" s="17"/>
      <c r="U80" s="17"/>
      <c r="V80" s="17"/>
      <c r="W80" s="17"/>
      <c r="X80" s="17"/>
      <c r="Y80" s="17"/>
      <c r="Z80" s="17"/>
      <c r="AA80" s="22">
        <v>332</v>
      </c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22">
        <v>160</v>
      </c>
      <c r="AO80" s="17"/>
      <c r="AP80" s="22">
        <v>75</v>
      </c>
      <c r="AQ80" s="17"/>
      <c r="AR80" s="17"/>
      <c r="AS80" s="17"/>
      <c r="AT80" s="17"/>
      <c r="AU80" s="17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t="s">
        <v>1856</v>
      </c>
      <c r="CD80" t="s">
        <v>95</v>
      </c>
      <c r="CE80" t="s">
        <v>1559</v>
      </c>
      <c r="CF80" t="s">
        <v>40</v>
      </c>
      <c r="CG80" t="s">
        <v>1659</v>
      </c>
      <c r="CH80" t="s">
        <v>1830</v>
      </c>
      <c r="CL80">
        <v>21</v>
      </c>
      <c r="CM80" t="s">
        <v>1671</v>
      </c>
      <c r="CN80">
        <v>2</v>
      </c>
      <c r="CO80" t="s">
        <v>1559</v>
      </c>
      <c r="CP80" t="s">
        <v>40</v>
      </c>
      <c r="CQ80" t="s">
        <v>2011</v>
      </c>
      <c r="CR80" t="s">
        <v>2022</v>
      </c>
      <c r="CS80" t="s">
        <v>121</v>
      </c>
    </row>
    <row r="81" spans="1:97" ht="16.350000000000001" customHeight="1" x14ac:dyDescent="0.25">
      <c r="A81" s="16"/>
      <c r="B81" s="16"/>
      <c r="C81" s="16"/>
      <c r="D81" s="16"/>
      <c r="E81" s="16"/>
      <c r="F81" s="16"/>
      <c r="G81" s="17"/>
      <c r="H81" s="17"/>
      <c r="I81" s="17"/>
      <c r="J81" s="17"/>
      <c r="K81" s="18" t="s">
        <v>1611</v>
      </c>
      <c r="L81" s="18" t="s">
        <v>345</v>
      </c>
      <c r="M81" s="17"/>
      <c r="N81" s="17"/>
      <c r="O81" s="18" t="s">
        <v>1611</v>
      </c>
      <c r="P81" s="17"/>
      <c r="Q81" s="17"/>
      <c r="R81" s="22">
        <v>333</v>
      </c>
      <c r="S81" s="17"/>
      <c r="T81" s="17"/>
      <c r="U81" s="17"/>
      <c r="V81" s="17"/>
      <c r="W81" s="17"/>
      <c r="X81" s="17"/>
      <c r="Y81" s="17"/>
      <c r="Z81" s="17"/>
      <c r="AA81" s="22">
        <v>333</v>
      </c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22">
        <v>161</v>
      </c>
      <c r="AO81" s="17"/>
      <c r="AP81" s="22">
        <v>76</v>
      </c>
      <c r="AQ81" s="17"/>
      <c r="AR81" s="17"/>
      <c r="AS81" s="17"/>
      <c r="AT81" s="17"/>
      <c r="AU81" s="17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t="s">
        <v>1856</v>
      </c>
      <c r="CD81" t="s">
        <v>1874</v>
      </c>
      <c r="CE81" t="s">
        <v>1559</v>
      </c>
      <c r="CF81" t="s">
        <v>41</v>
      </c>
      <c r="CG81" t="s">
        <v>1659</v>
      </c>
      <c r="CH81" t="s">
        <v>1844</v>
      </c>
      <c r="CL81">
        <v>22</v>
      </c>
      <c r="CM81" t="s">
        <v>1672</v>
      </c>
      <c r="CN81">
        <v>2</v>
      </c>
      <c r="CO81" t="s">
        <v>1559</v>
      </c>
      <c r="CP81" t="s">
        <v>41</v>
      </c>
      <c r="CQ81" t="s">
        <v>1980</v>
      </c>
      <c r="CR81" t="s">
        <v>2023</v>
      </c>
      <c r="CS81" t="s">
        <v>121</v>
      </c>
    </row>
    <row r="82" spans="1:97" ht="16.350000000000001" customHeight="1" x14ac:dyDescent="0.25">
      <c r="A82" s="16"/>
      <c r="B82" s="16"/>
      <c r="C82" s="16"/>
      <c r="D82" s="16"/>
      <c r="E82" s="16"/>
      <c r="F82" s="16"/>
      <c r="G82" s="17"/>
      <c r="H82" s="17"/>
      <c r="I82" s="17"/>
      <c r="J82" s="17"/>
      <c r="K82" s="18" t="s">
        <v>1612</v>
      </c>
      <c r="L82" s="18" t="s">
        <v>346</v>
      </c>
      <c r="M82" s="17"/>
      <c r="N82" s="17"/>
      <c r="O82" s="18" t="s">
        <v>1612</v>
      </c>
      <c r="P82" s="17"/>
      <c r="Q82" s="17"/>
      <c r="R82" s="22">
        <v>334</v>
      </c>
      <c r="S82" s="17"/>
      <c r="T82" s="17"/>
      <c r="U82" s="17"/>
      <c r="V82" s="17"/>
      <c r="W82" s="17"/>
      <c r="X82" s="17"/>
      <c r="Y82" s="17"/>
      <c r="Z82" s="17"/>
      <c r="AA82" s="22">
        <v>334</v>
      </c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22">
        <v>162</v>
      </c>
      <c r="AO82" s="17"/>
      <c r="AP82" s="22">
        <v>77</v>
      </c>
      <c r="AQ82" s="17"/>
      <c r="AR82" s="17"/>
      <c r="AS82" s="17"/>
      <c r="AT82" s="17"/>
      <c r="AU82" s="17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t="s">
        <v>1856</v>
      </c>
      <c r="CD82" t="s">
        <v>1875</v>
      </c>
      <c r="CE82" t="s">
        <v>1559</v>
      </c>
      <c r="CF82" t="s">
        <v>1726</v>
      </c>
      <c r="CG82" t="s">
        <v>1659</v>
      </c>
      <c r="CH82" t="s">
        <v>1841</v>
      </c>
      <c r="CL82">
        <v>23</v>
      </c>
      <c r="CM82" t="s">
        <v>1673</v>
      </c>
      <c r="CN82">
        <v>2</v>
      </c>
      <c r="CO82" t="s">
        <v>1559</v>
      </c>
      <c r="CP82" t="s">
        <v>1726</v>
      </c>
      <c r="CQ82" t="s">
        <v>1982</v>
      </c>
      <c r="CR82" t="s">
        <v>2024</v>
      </c>
      <c r="CS82" t="s">
        <v>121</v>
      </c>
    </row>
    <row r="83" spans="1:97" ht="16.350000000000001" customHeight="1" x14ac:dyDescent="0.25">
      <c r="A83" s="16"/>
      <c r="B83" s="16"/>
      <c r="C83" s="16"/>
      <c r="D83" s="16"/>
      <c r="E83" s="16"/>
      <c r="F83" s="16"/>
      <c r="G83" s="17"/>
      <c r="H83" s="17"/>
      <c r="I83" s="17"/>
      <c r="J83" s="17"/>
      <c r="K83" s="18" t="s">
        <v>347</v>
      </c>
      <c r="L83" s="18" t="s">
        <v>348</v>
      </c>
      <c r="M83" s="17"/>
      <c r="N83" s="17"/>
      <c r="O83" s="18" t="s">
        <v>347</v>
      </c>
      <c r="P83" s="17"/>
      <c r="Q83" s="17"/>
      <c r="R83" s="22">
        <v>335</v>
      </c>
      <c r="S83" s="17"/>
      <c r="T83" s="17"/>
      <c r="U83" s="17"/>
      <c r="V83" s="17"/>
      <c r="W83" s="17"/>
      <c r="X83" s="17"/>
      <c r="Y83" s="17"/>
      <c r="Z83" s="17"/>
      <c r="AA83" s="22">
        <v>335</v>
      </c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22">
        <v>163</v>
      </c>
      <c r="AO83" s="17"/>
      <c r="AP83" s="22">
        <v>78</v>
      </c>
      <c r="AQ83" s="17"/>
      <c r="AR83" s="17"/>
      <c r="AS83" s="17"/>
      <c r="AT83" s="17"/>
      <c r="AU83" s="17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t="s">
        <v>1856</v>
      </c>
      <c r="CD83" t="s">
        <v>1876</v>
      </c>
      <c r="CE83" t="s">
        <v>1559</v>
      </c>
      <c r="CF83" t="s">
        <v>1727</v>
      </c>
      <c r="CG83" t="s">
        <v>1659</v>
      </c>
      <c r="CH83" t="s">
        <v>1847</v>
      </c>
      <c r="CL83">
        <v>24</v>
      </c>
      <c r="CM83" t="s">
        <v>1674</v>
      </c>
      <c r="CN83">
        <v>2</v>
      </c>
      <c r="CO83" t="s">
        <v>1559</v>
      </c>
      <c r="CP83" t="s">
        <v>1727</v>
      </c>
      <c r="CQ83" t="s">
        <v>1989</v>
      </c>
      <c r="CR83" t="s">
        <v>2025</v>
      </c>
      <c r="CS83" t="s">
        <v>121</v>
      </c>
    </row>
    <row r="84" spans="1:97" ht="16.350000000000001" customHeight="1" x14ac:dyDescent="0.25">
      <c r="A84" s="16"/>
      <c r="B84" s="16"/>
      <c r="C84" s="16"/>
      <c r="D84" s="16"/>
      <c r="E84" s="16"/>
      <c r="F84" s="16"/>
      <c r="G84" s="17"/>
      <c r="H84" s="17"/>
      <c r="I84" s="17"/>
      <c r="J84" s="17"/>
      <c r="K84" s="18" t="s">
        <v>349</v>
      </c>
      <c r="L84" s="18" t="s">
        <v>350</v>
      </c>
      <c r="M84" s="17"/>
      <c r="N84" s="17"/>
      <c r="O84" s="18" t="s">
        <v>349</v>
      </c>
      <c r="P84" s="17"/>
      <c r="Q84" s="17"/>
      <c r="R84" s="22">
        <v>336</v>
      </c>
      <c r="S84" s="17"/>
      <c r="T84" s="17"/>
      <c r="U84" s="17"/>
      <c r="V84" s="17"/>
      <c r="W84" s="17"/>
      <c r="X84" s="17"/>
      <c r="Y84" s="17"/>
      <c r="Z84" s="17"/>
      <c r="AA84" s="22">
        <v>336</v>
      </c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22">
        <v>164</v>
      </c>
      <c r="AO84" s="17"/>
      <c r="AP84" s="22">
        <v>79</v>
      </c>
      <c r="AQ84" s="17"/>
      <c r="AR84" s="17"/>
      <c r="AS84" s="17"/>
      <c r="AT84" s="17"/>
      <c r="AU84" s="17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t="s">
        <v>1856</v>
      </c>
      <c r="CD84" t="s">
        <v>1877</v>
      </c>
      <c r="CE84" t="s">
        <v>1559</v>
      </c>
      <c r="CF84" t="s">
        <v>42</v>
      </c>
      <c r="CG84" t="s">
        <v>1659</v>
      </c>
      <c r="CH84" t="s">
        <v>156</v>
      </c>
      <c r="CL84">
        <v>25</v>
      </c>
      <c r="CM84" t="s">
        <v>1675</v>
      </c>
      <c r="CN84">
        <v>2</v>
      </c>
      <c r="CO84" t="s">
        <v>1559</v>
      </c>
      <c r="CP84" t="s">
        <v>42</v>
      </c>
      <c r="CQ84" t="s">
        <v>2026</v>
      </c>
      <c r="CR84" t="s">
        <v>2027</v>
      </c>
      <c r="CS84" t="s">
        <v>121</v>
      </c>
    </row>
    <row r="85" spans="1:97" ht="16.350000000000001" customHeight="1" x14ac:dyDescent="0.25">
      <c r="A85" s="16"/>
      <c r="B85" s="16"/>
      <c r="C85" s="16"/>
      <c r="D85" s="16"/>
      <c r="E85" s="16"/>
      <c r="F85" s="16"/>
      <c r="G85" s="17"/>
      <c r="H85" s="17"/>
      <c r="I85" s="17"/>
      <c r="J85" s="17"/>
      <c r="K85" s="18" t="s">
        <v>351</v>
      </c>
      <c r="L85" s="18" t="s">
        <v>352</v>
      </c>
      <c r="M85" s="17"/>
      <c r="N85" s="17"/>
      <c r="O85" s="18" t="s">
        <v>351</v>
      </c>
      <c r="P85" s="17"/>
      <c r="Q85" s="17"/>
      <c r="R85" s="22">
        <v>337</v>
      </c>
      <c r="S85" s="17"/>
      <c r="T85" s="17"/>
      <c r="U85" s="17"/>
      <c r="V85" s="17"/>
      <c r="W85" s="17"/>
      <c r="X85" s="17"/>
      <c r="Y85" s="17"/>
      <c r="Z85" s="17"/>
      <c r="AA85" s="22">
        <v>337</v>
      </c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22">
        <v>165</v>
      </c>
      <c r="AO85" s="17"/>
      <c r="AP85" s="22">
        <v>8</v>
      </c>
      <c r="AQ85" s="17"/>
      <c r="AR85" s="17"/>
      <c r="AS85" s="17"/>
      <c r="AT85" s="17"/>
      <c r="AU85" s="17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t="s">
        <v>1856</v>
      </c>
      <c r="CD85" t="s">
        <v>1872</v>
      </c>
      <c r="CE85" t="s">
        <v>1559</v>
      </c>
      <c r="CF85" t="s">
        <v>1717</v>
      </c>
      <c r="CG85" t="s">
        <v>1659</v>
      </c>
      <c r="CH85" t="s">
        <v>1849</v>
      </c>
      <c r="CL85">
        <v>26</v>
      </c>
      <c r="CM85" t="s">
        <v>1687</v>
      </c>
      <c r="CN85">
        <v>2</v>
      </c>
      <c r="CO85" t="s">
        <v>1559</v>
      </c>
      <c r="CP85" t="s">
        <v>1717</v>
      </c>
      <c r="CQ85" t="s">
        <v>2028</v>
      </c>
      <c r="CR85" t="s">
        <v>2029</v>
      </c>
      <c r="CS85" t="s">
        <v>121</v>
      </c>
    </row>
    <row r="86" spans="1:97" ht="16.350000000000001" customHeight="1" x14ac:dyDescent="0.25">
      <c r="A86" s="16"/>
      <c r="B86" s="16"/>
      <c r="C86" s="16"/>
      <c r="D86" s="16"/>
      <c r="E86" s="16"/>
      <c r="F86" s="16"/>
      <c r="G86" s="17"/>
      <c r="H86" s="17"/>
      <c r="I86" s="17"/>
      <c r="J86" s="17"/>
      <c r="K86" s="18" t="s">
        <v>353</v>
      </c>
      <c r="L86" s="18" t="s">
        <v>354</v>
      </c>
      <c r="M86" s="17"/>
      <c r="N86" s="17"/>
      <c r="O86" s="18" t="s">
        <v>353</v>
      </c>
      <c r="P86" s="17"/>
      <c r="Q86" s="17"/>
      <c r="R86" s="22">
        <v>338</v>
      </c>
      <c r="S86" s="17"/>
      <c r="T86" s="17"/>
      <c r="U86" s="17"/>
      <c r="V86" s="17"/>
      <c r="W86" s="17"/>
      <c r="X86" s="17"/>
      <c r="Y86" s="17"/>
      <c r="Z86" s="17"/>
      <c r="AA86" s="22">
        <v>338</v>
      </c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22">
        <v>166</v>
      </c>
      <c r="AO86" s="17"/>
      <c r="AP86" s="22">
        <v>80</v>
      </c>
      <c r="AQ86" s="17"/>
      <c r="AR86" s="17"/>
      <c r="AS86" s="17"/>
      <c r="AT86" s="17"/>
      <c r="AU86" s="17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t="s">
        <v>1856</v>
      </c>
      <c r="CD86" t="s">
        <v>1878</v>
      </c>
      <c r="CE86" t="s">
        <v>1559</v>
      </c>
      <c r="CF86" t="s">
        <v>1552</v>
      </c>
      <c r="CG86" t="s">
        <v>1664</v>
      </c>
      <c r="CH86" t="s">
        <v>1835</v>
      </c>
      <c r="CL86">
        <v>27</v>
      </c>
      <c r="CM86" t="s">
        <v>1688</v>
      </c>
      <c r="CN86">
        <v>2</v>
      </c>
      <c r="CO86" t="s">
        <v>1559</v>
      </c>
      <c r="CP86" t="s">
        <v>1552</v>
      </c>
      <c r="CQ86" t="s">
        <v>1962</v>
      </c>
      <c r="CR86" t="s">
        <v>2030</v>
      </c>
      <c r="CS86" t="s">
        <v>121</v>
      </c>
    </row>
    <row r="87" spans="1:97" ht="16.350000000000001" customHeight="1" x14ac:dyDescent="0.25">
      <c r="A87" s="16"/>
      <c r="B87" s="16"/>
      <c r="C87" s="16"/>
      <c r="D87" s="16"/>
      <c r="E87" s="16"/>
      <c r="F87" s="16"/>
      <c r="G87" s="17"/>
      <c r="H87" s="17"/>
      <c r="I87" s="17"/>
      <c r="J87" s="17"/>
      <c r="K87" s="18" t="s">
        <v>355</v>
      </c>
      <c r="L87" s="18" t="s">
        <v>356</v>
      </c>
      <c r="M87" s="17"/>
      <c r="N87" s="17"/>
      <c r="O87" s="18" t="s">
        <v>355</v>
      </c>
      <c r="P87" s="17"/>
      <c r="Q87" s="17"/>
      <c r="R87" s="22">
        <v>339</v>
      </c>
      <c r="S87" s="17"/>
      <c r="T87" s="17"/>
      <c r="U87" s="17"/>
      <c r="V87" s="17"/>
      <c r="W87" s="17"/>
      <c r="X87" s="17"/>
      <c r="Y87" s="17"/>
      <c r="Z87" s="17"/>
      <c r="AA87" s="22">
        <v>339</v>
      </c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22">
        <v>167</v>
      </c>
      <c r="AO87" s="17"/>
      <c r="AP87" s="22">
        <v>81</v>
      </c>
      <c r="AQ87" s="17"/>
      <c r="AR87" s="17"/>
      <c r="AS87" s="17"/>
      <c r="AT87" s="17"/>
      <c r="AU87" s="17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t="s">
        <v>1736</v>
      </c>
      <c r="CE87" t="s">
        <v>1560</v>
      </c>
      <c r="CF87" t="s">
        <v>1572</v>
      </c>
      <c r="CL87">
        <v>1</v>
      </c>
      <c r="CM87" t="s">
        <v>1936</v>
      </c>
      <c r="CN87">
        <v>2</v>
      </c>
      <c r="CO87" t="s">
        <v>1560</v>
      </c>
      <c r="CP87" t="s">
        <v>1572</v>
      </c>
      <c r="CQ87" t="s">
        <v>121</v>
      </c>
      <c r="CR87" t="s">
        <v>121</v>
      </c>
      <c r="CS87" t="s">
        <v>121</v>
      </c>
    </row>
    <row r="88" spans="1:97" ht="16.350000000000001" customHeight="1" x14ac:dyDescent="0.25">
      <c r="A88" s="16"/>
      <c r="B88" s="16"/>
      <c r="C88" s="16"/>
      <c r="D88" s="16"/>
      <c r="E88" s="16"/>
      <c r="F88" s="16"/>
      <c r="G88" s="17"/>
      <c r="H88" s="17"/>
      <c r="I88" s="17"/>
      <c r="J88" s="17"/>
      <c r="K88" s="18" t="s">
        <v>1613</v>
      </c>
      <c r="L88" s="18" t="s">
        <v>357</v>
      </c>
      <c r="M88" s="17"/>
      <c r="N88" s="17"/>
      <c r="O88" s="18" t="s">
        <v>1613</v>
      </c>
      <c r="P88" s="17"/>
      <c r="Q88" s="17"/>
      <c r="R88" s="22">
        <v>340</v>
      </c>
      <c r="S88" s="17"/>
      <c r="T88" s="17"/>
      <c r="U88" s="17"/>
      <c r="V88" s="17"/>
      <c r="W88" s="17"/>
      <c r="X88" s="17"/>
      <c r="Y88" s="17"/>
      <c r="Z88" s="17"/>
      <c r="AA88" s="22">
        <v>340</v>
      </c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22">
        <v>168</v>
      </c>
      <c r="AO88" s="17"/>
      <c r="AP88" s="22">
        <v>9</v>
      </c>
      <c r="AQ88" s="17"/>
      <c r="AR88" s="17"/>
      <c r="AS88" s="17"/>
      <c r="AT88" s="17"/>
      <c r="AU88" s="17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t="s">
        <v>1736</v>
      </c>
      <c r="CE88" t="s">
        <v>1560</v>
      </c>
      <c r="CF88" t="s">
        <v>1571</v>
      </c>
      <c r="CL88">
        <v>2</v>
      </c>
      <c r="CM88" t="s">
        <v>1939</v>
      </c>
      <c r="CN88">
        <v>2</v>
      </c>
      <c r="CO88" t="s">
        <v>1560</v>
      </c>
      <c r="CP88" t="s">
        <v>1571</v>
      </c>
      <c r="CQ88" t="s">
        <v>1964</v>
      </c>
      <c r="CR88" t="s">
        <v>1965</v>
      </c>
      <c r="CS88" t="s">
        <v>121</v>
      </c>
    </row>
    <row r="89" spans="1:97" ht="16.350000000000001" customHeight="1" x14ac:dyDescent="0.25">
      <c r="A89" s="16"/>
      <c r="B89" s="16"/>
      <c r="C89" s="16"/>
      <c r="D89" s="16"/>
      <c r="E89" s="16"/>
      <c r="F89" s="16"/>
      <c r="G89" s="17"/>
      <c r="H89" s="17"/>
      <c r="I89" s="17"/>
      <c r="J89" s="17"/>
      <c r="K89" s="18" t="s">
        <v>1614</v>
      </c>
      <c r="L89" s="18" t="s">
        <v>358</v>
      </c>
      <c r="M89" s="17"/>
      <c r="N89" s="17"/>
      <c r="O89" s="18" t="s">
        <v>1614</v>
      </c>
      <c r="P89" s="17"/>
      <c r="Q89" s="17"/>
      <c r="R89" s="22">
        <v>342</v>
      </c>
      <c r="S89" s="17"/>
      <c r="T89" s="17"/>
      <c r="U89" s="17"/>
      <c r="V89" s="17"/>
      <c r="W89" s="17"/>
      <c r="X89" s="17"/>
      <c r="Y89" s="17"/>
      <c r="Z89" s="17"/>
      <c r="AA89" s="22">
        <v>342</v>
      </c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22">
        <v>169</v>
      </c>
      <c r="AO89" s="17"/>
      <c r="AP89" s="21"/>
      <c r="AQ89" s="17"/>
      <c r="AR89" s="17"/>
      <c r="AS89" s="17"/>
      <c r="AT89" s="17"/>
      <c r="AU89" s="17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t="s">
        <v>1736</v>
      </c>
      <c r="CD89" t="s">
        <v>1753</v>
      </c>
      <c r="CE89" t="s">
        <v>1560</v>
      </c>
      <c r="CF89" t="s">
        <v>27</v>
      </c>
      <c r="CG89" t="s">
        <v>1659</v>
      </c>
      <c r="CH89" t="s">
        <v>113</v>
      </c>
      <c r="CL89">
        <v>3</v>
      </c>
      <c r="CM89" t="s">
        <v>1659</v>
      </c>
      <c r="CN89">
        <v>2</v>
      </c>
      <c r="CO89" t="s">
        <v>1560</v>
      </c>
      <c r="CP89" t="s">
        <v>27</v>
      </c>
      <c r="CQ89" t="s">
        <v>1966</v>
      </c>
      <c r="CR89" t="s">
        <v>1967</v>
      </c>
      <c r="CS89" t="s">
        <v>121</v>
      </c>
    </row>
    <row r="90" spans="1:97" ht="16.350000000000001" customHeight="1" x14ac:dyDescent="0.25">
      <c r="A90" s="16"/>
      <c r="B90" s="16"/>
      <c r="C90" s="16"/>
      <c r="D90" s="16"/>
      <c r="E90" s="16"/>
      <c r="F90" s="16"/>
      <c r="G90" s="17"/>
      <c r="H90" s="17"/>
      <c r="I90" s="17"/>
      <c r="J90" s="17"/>
      <c r="K90" s="18" t="s">
        <v>359</v>
      </c>
      <c r="L90" s="18" t="s">
        <v>360</v>
      </c>
      <c r="M90" s="17"/>
      <c r="N90" s="17"/>
      <c r="O90" s="18" t="s">
        <v>359</v>
      </c>
      <c r="P90" s="17"/>
      <c r="Q90" s="17"/>
      <c r="R90" s="22">
        <v>343</v>
      </c>
      <c r="S90" s="17"/>
      <c r="T90" s="17"/>
      <c r="U90" s="17"/>
      <c r="V90" s="17"/>
      <c r="W90" s="17"/>
      <c r="X90" s="17"/>
      <c r="Y90" s="17"/>
      <c r="Z90" s="17"/>
      <c r="AA90" s="22">
        <v>343</v>
      </c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22">
        <v>17</v>
      </c>
      <c r="AO90" s="17"/>
      <c r="AP90" s="21"/>
      <c r="AQ90" s="17"/>
      <c r="AR90" s="17"/>
      <c r="AS90" s="17"/>
      <c r="AT90" s="17"/>
      <c r="AU90" s="17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t="s">
        <v>1736</v>
      </c>
      <c r="CD90" t="s">
        <v>1754</v>
      </c>
      <c r="CE90" t="s">
        <v>1560</v>
      </c>
      <c r="CF90" t="s">
        <v>28</v>
      </c>
      <c r="CG90" t="s">
        <v>1659</v>
      </c>
      <c r="CH90" t="s">
        <v>156</v>
      </c>
      <c r="CL90">
        <v>4</v>
      </c>
      <c r="CM90" t="s">
        <v>1944</v>
      </c>
      <c r="CN90">
        <v>2</v>
      </c>
      <c r="CO90" t="s">
        <v>1560</v>
      </c>
      <c r="CP90" t="s">
        <v>28</v>
      </c>
      <c r="CQ90" t="s">
        <v>1968</v>
      </c>
      <c r="CR90" t="s">
        <v>1969</v>
      </c>
      <c r="CS90" t="s">
        <v>121</v>
      </c>
    </row>
    <row r="91" spans="1:97" ht="16.350000000000001" customHeight="1" x14ac:dyDescent="0.25">
      <c r="A91" s="16"/>
      <c r="B91" s="16"/>
      <c r="C91" s="16"/>
      <c r="D91" s="16"/>
      <c r="E91" s="16"/>
      <c r="F91" s="16"/>
      <c r="G91" s="17"/>
      <c r="H91" s="17"/>
      <c r="I91" s="17"/>
      <c r="J91" s="17"/>
      <c r="K91" s="18" t="s">
        <v>1615</v>
      </c>
      <c r="L91" s="18" t="s">
        <v>361</v>
      </c>
      <c r="M91" s="17"/>
      <c r="N91" s="17"/>
      <c r="O91" s="18" t="s">
        <v>1615</v>
      </c>
      <c r="P91" s="17"/>
      <c r="Q91" s="17"/>
      <c r="R91" s="22">
        <v>344</v>
      </c>
      <c r="S91" s="17"/>
      <c r="T91" s="17"/>
      <c r="U91" s="17"/>
      <c r="V91" s="17"/>
      <c r="W91" s="17"/>
      <c r="X91" s="17"/>
      <c r="Y91" s="17"/>
      <c r="Z91" s="17"/>
      <c r="AA91" s="22">
        <v>344</v>
      </c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22">
        <v>170</v>
      </c>
      <c r="AO91" s="17"/>
      <c r="AP91" s="21"/>
      <c r="AQ91" s="17"/>
      <c r="AR91" s="17"/>
      <c r="AS91" s="17"/>
      <c r="AT91" s="17"/>
      <c r="AU91" s="17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t="s">
        <v>1736</v>
      </c>
      <c r="CD91" t="s">
        <v>1758</v>
      </c>
      <c r="CE91" t="s">
        <v>1560</v>
      </c>
      <c r="CF91" t="s">
        <v>29</v>
      </c>
      <c r="CG91" t="s">
        <v>1659</v>
      </c>
      <c r="CH91" t="s">
        <v>1879</v>
      </c>
      <c r="CL91">
        <v>5</v>
      </c>
      <c r="CM91" t="s">
        <v>1951</v>
      </c>
      <c r="CN91">
        <v>2</v>
      </c>
      <c r="CO91" t="s">
        <v>1560</v>
      </c>
      <c r="CP91" t="s">
        <v>29</v>
      </c>
      <c r="CQ91" t="s">
        <v>2031</v>
      </c>
      <c r="CR91" t="s">
        <v>2032</v>
      </c>
      <c r="CS91" t="s">
        <v>121</v>
      </c>
    </row>
    <row r="92" spans="1:97" ht="16.350000000000001" customHeight="1" x14ac:dyDescent="0.25">
      <c r="A92" s="16"/>
      <c r="B92" s="16"/>
      <c r="C92" s="16"/>
      <c r="D92" s="16"/>
      <c r="E92" s="16"/>
      <c r="F92" s="16"/>
      <c r="G92" s="17"/>
      <c r="H92" s="17"/>
      <c r="I92" s="17"/>
      <c r="J92" s="17"/>
      <c r="K92" s="18" t="s">
        <v>1616</v>
      </c>
      <c r="L92" s="18" t="s">
        <v>363</v>
      </c>
      <c r="M92" s="17"/>
      <c r="N92" s="17"/>
      <c r="O92" s="18" t="s">
        <v>1616</v>
      </c>
      <c r="P92" s="17"/>
      <c r="Q92" s="17"/>
      <c r="R92" s="22">
        <v>345</v>
      </c>
      <c r="S92" s="17"/>
      <c r="T92" s="17"/>
      <c r="U92" s="17"/>
      <c r="V92" s="17"/>
      <c r="W92" s="17"/>
      <c r="X92" s="17"/>
      <c r="Y92" s="17"/>
      <c r="Z92" s="17"/>
      <c r="AA92" s="22">
        <v>345</v>
      </c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22">
        <v>171</v>
      </c>
      <c r="AO92" s="17"/>
      <c r="AP92" s="21"/>
      <c r="AQ92" s="17"/>
      <c r="AR92" s="17"/>
      <c r="AS92" s="17"/>
      <c r="AT92" s="17"/>
      <c r="AU92" s="17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t="s">
        <v>1736</v>
      </c>
      <c r="CD92" t="s">
        <v>1756</v>
      </c>
      <c r="CE92" t="s">
        <v>1560</v>
      </c>
      <c r="CF92" t="s">
        <v>43</v>
      </c>
      <c r="CG92" t="s">
        <v>1659</v>
      </c>
      <c r="CH92" t="s">
        <v>1836</v>
      </c>
      <c r="CL92">
        <v>6</v>
      </c>
      <c r="CM92" t="s">
        <v>1632</v>
      </c>
      <c r="CN92">
        <v>2</v>
      </c>
      <c r="CO92" t="s">
        <v>1560</v>
      </c>
      <c r="CP92" t="s">
        <v>43</v>
      </c>
      <c r="CQ92" t="s">
        <v>1970</v>
      </c>
      <c r="CR92" t="s">
        <v>2033</v>
      </c>
      <c r="CS92" t="s">
        <v>121</v>
      </c>
    </row>
    <row r="93" spans="1:97" ht="16.350000000000001" customHeight="1" x14ac:dyDescent="0.25">
      <c r="A93" s="16"/>
      <c r="B93" s="16"/>
      <c r="C93" s="16"/>
      <c r="D93" s="16"/>
      <c r="E93" s="16"/>
      <c r="F93" s="16"/>
      <c r="G93" s="17"/>
      <c r="H93" s="17"/>
      <c r="I93" s="17"/>
      <c r="J93" s="17"/>
      <c r="K93" s="18" t="s">
        <v>1617</v>
      </c>
      <c r="L93" s="18" t="s">
        <v>364</v>
      </c>
      <c r="M93" s="17"/>
      <c r="N93" s="17"/>
      <c r="O93" s="18" t="s">
        <v>1617</v>
      </c>
      <c r="P93" s="17"/>
      <c r="Q93" s="17"/>
      <c r="R93" s="22">
        <v>346</v>
      </c>
      <c r="S93" s="17"/>
      <c r="T93" s="17"/>
      <c r="U93" s="17"/>
      <c r="V93" s="17"/>
      <c r="W93" s="17"/>
      <c r="X93" s="17"/>
      <c r="Y93" s="17"/>
      <c r="Z93" s="17"/>
      <c r="AA93" s="22">
        <v>346</v>
      </c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22">
        <v>172</v>
      </c>
      <c r="AO93" s="17"/>
      <c r="AP93" s="21"/>
      <c r="AQ93" s="17"/>
      <c r="AR93" s="17"/>
      <c r="AS93" s="17"/>
      <c r="AT93" s="17"/>
      <c r="AU93" s="17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t="s">
        <v>1736</v>
      </c>
      <c r="CD93" t="s">
        <v>1757</v>
      </c>
      <c r="CE93" t="s">
        <v>1560</v>
      </c>
      <c r="CF93" t="s">
        <v>30</v>
      </c>
      <c r="CG93" t="s">
        <v>1659</v>
      </c>
      <c r="CH93" t="s">
        <v>1837</v>
      </c>
      <c r="CL93">
        <v>7</v>
      </c>
      <c r="CM93" t="s">
        <v>1660</v>
      </c>
      <c r="CN93">
        <v>2</v>
      </c>
      <c r="CO93" t="s">
        <v>1560</v>
      </c>
      <c r="CP93" t="s">
        <v>30</v>
      </c>
      <c r="CQ93" t="s">
        <v>2034</v>
      </c>
      <c r="CR93" t="s">
        <v>2035</v>
      </c>
      <c r="CS93" t="s">
        <v>121</v>
      </c>
    </row>
    <row r="94" spans="1:97" ht="16.350000000000001" customHeight="1" x14ac:dyDescent="0.25">
      <c r="A94" s="16"/>
      <c r="B94" s="16"/>
      <c r="C94" s="16"/>
      <c r="D94" s="16"/>
      <c r="E94" s="16"/>
      <c r="F94" s="16"/>
      <c r="G94" s="17"/>
      <c r="H94" s="17"/>
      <c r="I94" s="17"/>
      <c r="J94" s="17"/>
      <c r="K94" s="18" t="s">
        <v>1618</v>
      </c>
      <c r="L94" s="18" t="s">
        <v>365</v>
      </c>
      <c r="M94" s="17"/>
      <c r="N94" s="17"/>
      <c r="O94" s="18" t="s">
        <v>1618</v>
      </c>
      <c r="P94" s="17"/>
      <c r="Q94" s="17"/>
      <c r="R94" s="22">
        <v>347</v>
      </c>
      <c r="S94" s="17"/>
      <c r="T94" s="17"/>
      <c r="U94" s="17"/>
      <c r="V94" s="17"/>
      <c r="W94" s="17"/>
      <c r="X94" s="17"/>
      <c r="Y94" s="17"/>
      <c r="Z94" s="17"/>
      <c r="AA94" s="22">
        <v>347</v>
      </c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22">
        <v>173</v>
      </c>
      <c r="AO94" s="17"/>
      <c r="AP94" s="21"/>
      <c r="AQ94" s="17"/>
      <c r="AR94" s="17"/>
      <c r="AS94" s="17"/>
      <c r="AT94" s="17"/>
      <c r="AU94" s="17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t="s">
        <v>1736</v>
      </c>
      <c r="CD94" t="s">
        <v>88</v>
      </c>
      <c r="CE94" t="s">
        <v>1560</v>
      </c>
      <c r="CF94" t="s">
        <v>31</v>
      </c>
      <c r="CG94" t="s">
        <v>1659</v>
      </c>
      <c r="CH94" t="s">
        <v>1830</v>
      </c>
      <c r="CL94">
        <v>8</v>
      </c>
      <c r="CM94" t="s">
        <v>125</v>
      </c>
      <c r="CN94">
        <v>2</v>
      </c>
      <c r="CO94" t="s">
        <v>1560</v>
      </c>
      <c r="CP94" t="s">
        <v>31</v>
      </c>
      <c r="CQ94" t="s">
        <v>2011</v>
      </c>
      <c r="CR94" t="s">
        <v>2036</v>
      </c>
      <c r="CS94" t="s">
        <v>121</v>
      </c>
    </row>
    <row r="95" spans="1:97" ht="16.350000000000001" customHeight="1" x14ac:dyDescent="0.25">
      <c r="A95" s="16"/>
      <c r="B95" s="16"/>
      <c r="C95" s="16"/>
      <c r="D95" s="16"/>
      <c r="E95" s="16"/>
      <c r="F95" s="16"/>
      <c r="G95" s="17"/>
      <c r="H95" s="17"/>
      <c r="I95" s="17"/>
      <c r="J95" s="17"/>
      <c r="K95" s="18" t="s">
        <v>366</v>
      </c>
      <c r="L95" s="18" t="s">
        <v>367</v>
      </c>
      <c r="M95" s="17"/>
      <c r="N95" s="17"/>
      <c r="O95" s="18" t="s">
        <v>366</v>
      </c>
      <c r="P95" s="17"/>
      <c r="Q95" s="17"/>
      <c r="R95" s="22">
        <v>348</v>
      </c>
      <c r="S95" s="17"/>
      <c r="T95" s="17"/>
      <c r="U95" s="17"/>
      <c r="V95" s="17"/>
      <c r="W95" s="17"/>
      <c r="X95" s="17"/>
      <c r="Y95" s="17"/>
      <c r="Z95" s="17"/>
      <c r="AA95" s="22">
        <v>348</v>
      </c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22">
        <v>174</v>
      </c>
      <c r="AO95" s="17"/>
      <c r="AP95" s="21"/>
      <c r="AQ95" s="17"/>
      <c r="AR95" s="17"/>
      <c r="AS95" s="17"/>
      <c r="AT95" s="17"/>
      <c r="AU95" s="17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t="s">
        <v>1736</v>
      </c>
      <c r="CD95" t="s">
        <v>89</v>
      </c>
      <c r="CE95" t="s">
        <v>1560</v>
      </c>
      <c r="CF95" t="s">
        <v>32</v>
      </c>
      <c r="CG95" t="s">
        <v>1659</v>
      </c>
      <c r="CH95" t="s">
        <v>1830</v>
      </c>
      <c r="CL95">
        <v>9</v>
      </c>
      <c r="CM95" t="s">
        <v>135</v>
      </c>
      <c r="CN95">
        <v>2</v>
      </c>
      <c r="CO95" t="s">
        <v>1560</v>
      </c>
      <c r="CP95" t="s">
        <v>32</v>
      </c>
      <c r="CQ95" t="s">
        <v>2011</v>
      </c>
      <c r="CR95" t="s">
        <v>2037</v>
      </c>
      <c r="CS95" t="s">
        <v>121</v>
      </c>
    </row>
    <row r="96" spans="1:97" ht="16.350000000000001" customHeight="1" x14ac:dyDescent="0.25">
      <c r="A96" s="16"/>
      <c r="B96" s="16"/>
      <c r="C96" s="16"/>
      <c r="D96" s="16"/>
      <c r="E96" s="16"/>
      <c r="F96" s="16"/>
      <c r="G96" s="17"/>
      <c r="H96" s="17"/>
      <c r="I96" s="17"/>
      <c r="J96" s="17"/>
      <c r="K96" s="18" t="s">
        <v>368</v>
      </c>
      <c r="L96" s="18" t="s">
        <v>369</v>
      </c>
      <c r="M96" s="17"/>
      <c r="N96" s="17"/>
      <c r="O96" s="18" t="s">
        <v>368</v>
      </c>
      <c r="P96" s="17"/>
      <c r="Q96" s="17"/>
      <c r="R96" s="22">
        <v>354</v>
      </c>
      <c r="S96" s="17"/>
      <c r="T96" s="17"/>
      <c r="U96" s="17"/>
      <c r="V96" s="17"/>
      <c r="W96" s="17"/>
      <c r="X96" s="17"/>
      <c r="Y96" s="17"/>
      <c r="Z96" s="17"/>
      <c r="AA96" s="22">
        <v>354</v>
      </c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22">
        <v>175</v>
      </c>
      <c r="AO96" s="17"/>
      <c r="AP96" s="17"/>
      <c r="AQ96" s="17"/>
      <c r="AR96" s="17"/>
      <c r="AS96" s="17"/>
      <c r="AT96" s="17"/>
      <c r="AU96" s="17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t="s">
        <v>1736</v>
      </c>
      <c r="CD96" t="s">
        <v>90</v>
      </c>
      <c r="CE96" t="s">
        <v>1560</v>
      </c>
      <c r="CF96" t="s">
        <v>12</v>
      </c>
      <c r="CG96" t="s">
        <v>1659</v>
      </c>
      <c r="CH96" t="s">
        <v>1830</v>
      </c>
      <c r="CL96">
        <v>10</v>
      </c>
      <c r="CM96" t="s">
        <v>1661</v>
      </c>
      <c r="CN96">
        <v>2</v>
      </c>
      <c r="CO96" t="s">
        <v>1560</v>
      </c>
      <c r="CP96" t="s">
        <v>12</v>
      </c>
      <c r="CQ96" t="s">
        <v>2011</v>
      </c>
      <c r="CR96" t="s">
        <v>2038</v>
      </c>
      <c r="CS96" t="s">
        <v>121</v>
      </c>
    </row>
    <row r="97" spans="1:97" ht="16.350000000000001" customHeight="1" x14ac:dyDescent="0.25">
      <c r="A97" s="16"/>
      <c r="B97" s="16"/>
      <c r="C97" s="16"/>
      <c r="D97" s="16"/>
      <c r="E97" s="16"/>
      <c r="F97" s="16"/>
      <c r="G97" s="17"/>
      <c r="H97" s="17"/>
      <c r="I97" s="17"/>
      <c r="J97" s="17"/>
      <c r="K97" s="18" t="s">
        <v>370</v>
      </c>
      <c r="L97" s="18" t="s">
        <v>371</v>
      </c>
      <c r="M97" s="17"/>
      <c r="N97" s="17"/>
      <c r="O97" s="18" t="s">
        <v>370</v>
      </c>
      <c r="P97" s="17"/>
      <c r="Q97" s="17"/>
      <c r="R97" s="22">
        <v>355</v>
      </c>
      <c r="S97" s="17"/>
      <c r="T97" s="17"/>
      <c r="U97" s="17"/>
      <c r="V97" s="17"/>
      <c r="W97" s="17"/>
      <c r="X97" s="17"/>
      <c r="Y97" s="17"/>
      <c r="Z97" s="17"/>
      <c r="AA97" s="22">
        <v>355</v>
      </c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22">
        <v>176</v>
      </c>
      <c r="AO97" s="17"/>
      <c r="AP97" s="17"/>
      <c r="AQ97" s="17"/>
      <c r="AR97" s="17"/>
      <c r="AS97" s="17"/>
      <c r="AT97" s="17"/>
      <c r="AU97" s="17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t="s">
        <v>1736</v>
      </c>
      <c r="CD97" t="s">
        <v>1553</v>
      </c>
      <c r="CE97" t="s">
        <v>1560</v>
      </c>
      <c r="CF97" t="s">
        <v>13</v>
      </c>
      <c r="CG97" t="s">
        <v>1664</v>
      </c>
      <c r="CH97" t="s">
        <v>1838</v>
      </c>
      <c r="CL97">
        <v>11</v>
      </c>
      <c r="CM97" t="s">
        <v>1662</v>
      </c>
      <c r="CN97">
        <v>2</v>
      </c>
      <c r="CO97" t="s">
        <v>1560</v>
      </c>
      <c r="CP97" t="s">
        <v>13</v>
      </c>
      <c r="CQ97" t="s">
        <v>1976</v>
      </c>
      <c r="CR97" t="s">
        <v>2039</v>
      </c>
      <c r="CS97" t="s">
        <v>121</v>
      </c>
    </row>
    <row r="98" spans="1:97" ht="16.350000000000001" customHeight="1" x14ac:dyDescent="0.25">
      <c r="A98" s="16"/>
      <c r="B98" s="16"/>
      <c r="C98" s="16"/>
      <c r="D98" s="16"/>
      <c r="E98" s="16"/>
      <c r="F98" s="16"/>
      <c r="G98" s="17"/>
      <c r="H98" s="17"/>
      <c r="I98" s="17"/>
      <c r="J98" s="17"/>
      <c r="K98" s="18" t="s">
        <v>372</v>
      </c>
      <c r="L98" s="18" t="s">
        <v>373</v>
      </c>
      <c r="M98" s="17"/>
      <c r="N98" s="17"/>
      <c r="O98" s="18" t="s">
        <v>372</v>
      </c>
      <c r="P98" s="17"/>
      <c r="Q98" s="17"/>
      <c r="R98" s="22">
        <v>356</v>
      </c>
      <c r="S98" s="17"/>
      <c r="T98" s="17"/>
      <c r="U98" s="17"/>
      <c r="V98" s="17"/>
      <c r="W98" s="17"/>
      <c r="X98" s="17"/>
      <c r="Y98" s="17"/>
      <c r="Z98" s="17"/>
      <c r="AA98" s="22">
        <v>356</v>
      </c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22">
        <v>177</v>
      </c>
      <c r="AO98" s="17"/>
      <c r="AP98" s="17"/>
      <c r="AQ98" s="17"/>
      <c r="AR98" s="17"/>
      <c r="AS98" s="17"/>
      <c r="AT98" s="17"/>
      <c r="AU98" s="17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t="s">
        <v>1736</v>
      </c>
      <c r="CD98" t="s">
        <v>91</v>
      </c>
      <c r="CE98" t="s">
        <v>1560</v>
      </c>
      <c r="CF98" t="s">
        <v>33</v>
      </c>
      <c r="CG98" t="s">
        <v>1659</v>
      </c>
      <c r="CH98" t="s">
        <v>1830</v>
      </c>
      <c r="CL98">
        <v>12</v>
      </c>
      <c r="CM98" t="s">
        <v>1663</v>
      </c>
      <c r="CN98">
        <v>2</v>
      </c>
      <c r="CO98" t="s">
        <v>1560</v>
      </c>
      <c r="CP98" t="s">
        <v>33</v>
      </c>
      <c r="CQ98" t="s">
        <v>2011</v>
      </c>
      <c r="CR98" t="s">
        <v>2040</v>
      </c>
      <c r="CS98" t="s">
        <v>121</v>
      </c>
    </row>
    <row r="99" spans="1:97" ht="16.350000000000001" customHeight="1" x14ac:dyDescent="0.25">
      <c r="A99" s="16"/>
      <c r="B99" s="16"/>
      <c r="C99" s="16"/>
      <c r="D99" s="16"/>
      <c r="E99" s="16"/>
      <c r="F99" s="16"/>
      <c r="G99" s="17"/>
      <c r="H99" s="17"/>
      <c r="I99" s="17"/>
      <c r="J99" s="17"/>
      <c r="K99" s="18" t="s">
        <v>314</v>
      </c>
      <c r="L99" s="18" t="s">
        <v>374</v>
      </c>
      <c r="M99" s="17"/>
      <c r="N99" s="17"/>
      <c r="O99" s="18" t="s">
        <v>314</v>
      </c>
      <c r="P99" s="17"/>
      <c r="Q99" s="17"/>
      <c r="R99" s="22">
        <v>361</v>
      </c>
      <c r="S99" s="17"/>
      <c r="T99" s="17"/>
      <c r="U99" s="17"/>
      <c r="V99" s="17"/>
      <c r="W99" s="17"/>
      <c r="X99" s="17"/>
      <c r="Y99" s="17"/>
      <c r="Z99" s="17"/>
      <c r="AA99" s="22">
        <v>361</v>
      </c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22">
        <v>178</v>
      </c>
      <c r="AO99" s="17"/>
      <c r="AP99" s="17"/>
      <c r="AQ99" s="17"/>
      <c r="AR99" s="17"/>
      <c r="AS99" s="17"/>
      <c r="AT99" s="17"/>
      <c r="AU99" s="17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t="s">
        <v>1736</v>
      </c>
      <c r="CD99" t="s">
        <v>92</v>
      </c>
      <c r="CE99" t="s">
        <v>1560</v>
      </c>
      <c r="CF99" t="s">
        <v>21</v>
      </c>
      <c r="CG99" t="s">
        <v>1659</v>
      </c>
      <c r="CH99" t="s">
        <v>1830</v>
      </c>
      <c r="CL99">
        <v>13</v>
      </c>
      <c r="CM99" t="s">
        <v>145</v>
      </c>
      <c r="CN99">
        <v>2</v>
      </c>
      <c r="CO99" t="s">
        <v>1560</v>
      </c>
      <c r="CP99" t="s">
        <v>21</v>
      </c>
      <c r="CQ99" t="s">
        <v>1942</v>
      </c>
      <c r="CR99" t="s">
        <v>2041</v>
      </c>
      <c r="CS99" t="s">
        <v>121</v>
      </c>
    </row>
    <row r="100" spans="1:97" ht="16.350000000000001" customHeight="1" x14ac:dyDescent="0.25">
      <c r="A100" s="16"/>
      <c r="B100" s="16"/>
      <c r="C100" s="16"/>
      <c r="D100" s="16"/>
      <c r="E100" s="16"/>
      <c r="F100" s="16"/>
      <c r="G100" s="17"/>
      <c r="H100" s="17"/>
      <c r="I100" s="17"/>
      <c r="J100" s="17"/>
      <c r="K100" s="18" t="s">
        <v>1619</v>
      </c>
      <c r="L100" s="18" t="s">
        <v>375</v>
      </c>
      <c r="M100" s="17"/>
      <c r="N100" s="17"/>
      <c r="O100" s="18" t="s">
        <v>1619</v>
      </c>
      <c r="P100" s="17"/>
      <c r="Q100" s="17"/>
      <c r="R100" s="22">
        <v>362</v>
      </c>
      <c r="S100" s="17"/>
      <c r="T100" s="17"/>
      <c r="U100" s="17"/>
      <c r="V100" s="17"/>
      <c r="W100" s="17"/>
      <c r="X100" s="17"/>
      <c r="Y100" s="17"/>
      <c r="Z100" s="17"/>
      <c r="AA100" s="22">
        <v>362</v>
      </c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22">
        <v>179</v>
      </c>
      <c r="AO100" s="17"/>
      <c r="AP100" s="17"/>
      <c r="AQ100" s="17"/>
      <c r="AR100" s="17"/>
      <c r="AS100" s="17"/>
      <c r="AT100" s="17"/>
      <c r="AU100" s="17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t="s">
        <v>1736</v>
      </c>
      <c r="CD100" t="s">
        <v>1759</v>
      </c>
      <c r="CE100" t="s">
        <v>1560</v>
      </c>
      <c r="CF100" t="s">
        <v>22</v>
      </c>
      <c r="CG100" t="s">
        <v>1659</v>
      </c>
      <c r="CH100" t="s">
        <v>1829</v>
      </c>
      <c r="CL100">
        <v>14</v>
      </c>
      <c r="CM100" t="s">
        <v>1664</v>
      </c>
      <c r="CN100">
        <v>2</v>
      </c>
      <c r="CO100" t="s">
        <v>1560</v>
      </c>
      <c r="CP100" t="s">
        <v>22</v>
      </c>
      <c r="CQ100" t="s">
        <v>1948</v>
      </c>
      <c r="CR100" t="s">
        <v>2042</v>
      </c>
      <c r="CS100" t="s">
        <v>121</v>
      </c>
    </row>
    <row r="101" spans="1:97" ht="16.350000000000001" customHeight="1" x14ac:dyDescent="0.25">
      <c r="A101" s="16"/>
      <c r="B101" s="16"/>
      <c r="C101" s="16"/>
      <c r="D101" s="16"/>
      <c r="E101" s="16"/>
      <c r="F101" s="16"/>
      <c r="G101" s="17"/>
      <c r="H101" s="17"/>
      <c r="I101" s="17"/>
      <c r="J101" s="17"/>
      <c r="K101" s="18" t="s">
        <v>325</v>
      </c>
      <c r="L101" s="18" t="s">
        <v>376</v>
      </c>
      <c r="M101" s="17"/>
      <c r="N101" s="17"/>
      <c r="O101" s="18" t="s">
        <v>325</v>
      </c>
      <c r="P101" s="17"/>
      <c r="Q101" s="17"/>
      <c r="R101" s="22">
        <v>363</v>
      </c>
      <c r="S101" s="17"/>
      <c r="T101" s="17"/>
      <c r="U101" s="17"/>
      <c r="V101" s="17"/>
      <c r="W101" s="17"/>
      <c r="X101" s="17"/>
      <c r="Y101" s="17"/>
      <c r="Z101" s="17"/>
      <c r="AA101" s="22">
        <v>363</v>
      </c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22">
        <v>18</v>
      </c>
      <c r="AO101" s="17"/>
      <c r="AP101" s="17"/>
      <c r="AQ101" s="17"/>
      <c r="AR101" s="17"/>
      <c r="AS101" s="17"/>
      <c r="AT101" s="17"/>
      <c r="AU101" s="17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t="s">
        <v>1736</v>
      </c>
      <c r="CD101" t="s">
        <v>1739</v>
      </c>
      <c r="CE101" t="s">
        <v>1560</v>
      </c>
      <c r="CF101" t="s">
        <v>16</v>
      </c>
      <c r="CG101" t="s">
        <v>1659</v>
      </c>
      <c r="CH101" t="s">
        <v>1839</v>
      </c>
      <c r="CL101">
        <v>15</v>
      </c>
      <c r="CM101" t="s">
        <v>1665</v>
      </c>
      <c r="CN101">
        <v>2</v>
      </c>
      <c r="CO101" t="s">
        <v>1560</v>
      </c>
      <c r="CP101" t="s">
        <v>16</v>
      </c>
      <c r="CQ101" t="s">
        <v>1980</v>
      </c>
      <c r="CR101" t="s">
        <v>1986</v>
      </c>
      <c r="CS101" t="s">
        <v>121</v>
      </c>
    </row>
    <row r="102" spans="1:97" ht="16.350000000000001" customHeight="1" x14ac:dyDescent="0.25">
      <c r="A102" s="16"/>
      <c r="B102" s="16"/>
      <c r="C102" s="16"/>
      <c r="D102" s="16"/>
      <c r="E102" s="16"/>
      <c r="F102" s="16"/>
      <c r="G102" s="17"/>
      <c r="H102" s="17"/>
      <c r="I102" s="17"/>
      <c r="J102" s="17"/>
      <c r="K102" s="18" t="s">
        <v>329</v>
      </c>
      <c r="L102" s="18" t="s">
        <v>377</v>
      </c>
      <c r="M102" s="17"/>
      <c r="N102" s="17"/>
      <c r="O102" s="18" t="s">
        <v>329</v>
      </c>
      <c r="P102" s="17"/>
      <c r="Q102" s="17"/>
      <c r="R102" s="22">
        <v>364</v>
      </c>
      <c r="S102" s="17"/>
      <c r="T102" s="17"/>
      <c r="U102" s="17"/>
      <c r="V102" s="17"/>
      <c r="W102" s="17"/>
      <c r="X102" s="17"/>
      <c r="Y102" s="17"/>
      <c r="Z102" s="17"/>
      <c r="AA102" s="22">
        <v>364</v>
      </c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22">
        <v>180</v>
      </c>
      <c r="AO102" s="17"/>
      <c r="AP102" s="17"/>
      <c r="AQ102" s="17"/>
      <c r="AR102" s="17"/>
      <c r="AS102" s="17"/>
      <c r="AT102" s="17"/>
      <c r="AU102" s="17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t="s">
        <v>1736</v>
      </c>
      <c r="CD102" t="s">
        <v>1880</v>
      </c>
      <c r="CE102" t="s">
        <v>1560</v>
      </c>
      <c r="CF102" t="s">
        <v>1709</v>
      </c>
      <c r="CG102" t="s">
        <v>1659</v>
      </c>
      <c r="CH102" t="s">
        <v>1841</v>
      </c>
      <c r="CL102">
        <v>16</v>
      </c>
      <c r="CM102" t="s">
        <v>1666</v>
      </c>
      <c r="CN102">
        <v>2</v>
      </c>
      <c r="CO102" t="s">
        <v>1560</v>
      </c>
      <c r="CP102" t="s">
        <v>1709</v>
      </c>
      <c r="CQ102" t="s">
        <v>1982</v>
      </c>
      <c r="CR102" t="s">
        <v>2020</v>
      </c>
      <c r="CS102" t="s">
        <v>121</v>
      </c>
    </row>
    <row r="103" spans="1:97" ht="16.350000000000001" customHeight="1" x14ac:dyDescent="0.25">
      <c r="A103" s="16"/>
      <c r="B103" s="16"/>
      <c r="C103" s="16"/>
      <c r="D103" s="16"/>
      <c r="E103" s="16"/>
      <c r="F103" s="16"/>
      <c r="G103" s="17"/>
      <c r="H103" s="17"/>
      <c r="I103" s="17"/>
      <c r="J103" s="17"/>
      <c r="K103" s="18" t="s">
        <v>333</v>
      </c>
      <c r="L103" s="18" t="s">
        <v>379</v>
      </c>
      <c r="M103" s="17"/>
      <c r="N103" s="17"/>
      <c r="O103" s="18" t="s">
        <v>333</v>
      </c>
      <c r="P103" s="17"/>
      <c r="Q103" s="17"/>
      <c r="R103" s="22">
        <v>365</v>
      </c>
      <c r="S103" s="17"/>
      <c r="T103" s="17"/>
      <c r="U103" s="17"/>
      <c r="V103" s="17"/>
      <c r="W103" s="17"/>
      <c r="X103" s="17"/>
      <c r="Y103" s="17"/>
      <c r="Z103" s="17"/>
      <c r="AA103" s="22">
        <v>365</v>
      </c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22">
        <v>181</v>
      </c>
      <c r="AO103" s="17"/>
      <c r="AP103" s="17"/>
      <c r="AQ103" s="17"/>
      <c r="AR103" s="17"/>
      <c r="AS103" s="17"/>
      <c r="AT103" s="17"/>
      <c r="AU103" s="17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t="s">
        <v>1736</v>
      </c>
      <c r="CD103" t="s">
        <v>1881</v>
      </c>
      <c r="CE103" t="s">
        <v>1560</v>
      </c>
      <c r="CF103" t="s">
        <v>1710</v>
      </c>
      <c r="CG103" t="s">
        <v>1659</v>
      </c>
      <c r="CH103" t="s">
        <v>1847</v>
      </c>
      <c r="CL103">
        <v>17</v>
      </c>
      <c r="CM103" t="s">
        <v>1667</v>
      </c>
      <c r="CN103">
        <v>2</v>
      </c>
      <c r="CO103" t="s">
        <v>1560</v>
      </c>
      <c r="CP103" t="s">
        <v>1710</v>
      </c>
      <c r="CQ103" t="s">
        <v>1989</v>
      </c>
      <c r="CR103" t="s">
        <v>1990</v>
      </c>
      <c r="CS103" t="s">
        <v>121</v>
      </c>
    </row>
    <row r="104" spans="1:97" ht="16.350000000000001" customHeight="1" x14ac:dyDescent="0.25">
      <c r="A104" s="16"/>
      <c r="B104" s="16"/>
      <c r="C104" s="16"/>
      <c r="D104" s="16"/>
      <c r="E104" s="16"/>
      <c r="F104" s="16"/>
      <c r="G104" s="17"/>
      <c r="H104" s="17"/>
      <c r="I104" s="17"/>
      <c r="J104" s="17"/>
      <c r="K104" s="18" t="s">
        <v>1620</v>
      </c>
      <c r="L104" s="18" t="s">
        <v>380</v>
      </c>
      <c r="M104" s="17"/>
      <c r="N104" s="17"/>
      <c r="O104" s="18" t="s">
        <v>1620</v>
      </c>
      <c r="P104" s="17"/>
      <c r="Q104" s="17"/>
      <c r="R104" s="22">
        <v>366</v>
      </c>
      <c r="S104" s="17"/>
      <c r="T104" s="17"/>
      <c r="U104" s="17"/>
      <c r="V104" s="17"/>
      <c r="W104" s="17"/>
      <c r="X104" s="17"/>
      <c r="Y104" s="17"/>
      <c r="Z104" s="17"/>
      <c r="AA104" s="22">
        <v>366</v>
      </c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22">
        <v>182</v>
      </c>
      <c r="AO104" s="17"/>
      <c r="AP104" s="17"/>
      <c r="AQ104" s="17"/>
      <c r="AR104" s="17"/>
      <c r="AS104" s="17"/>
      <c r="AT104" s="17"/>
      <c r="AU104" s="17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t="s">
        <v>1736</v>
      </c>
      <c r="CD104" t="s">
        <v>1760</v>
      </c>
      <c r="CE104" t="s">
        <v>1560</v>
      </c>
      <c r="CF104" t="s">
        <v>34</v>
      </c>
      <c r="CG104" t="s">
        <v>1659</v>
      </c>
      <c r="CH104" t="s">
        <v>1844</v>
      </c>
      <c r="CL104">
        <v>18</v>
      </c>
      <c r="CM104" t="s">
        <v>1668</v>
      </c>
      <c r="CN104">
        <v>2</v>
      </c>
      <c r="CO104" t="s">
        <v>1560</v>
      </c>
      <c r="CP104" t="s">
        <v>34</v>
      </c>
      <c r="CQ104" t="s">
        <v>1980</v>
      </c>
      <c r="CR104" t="s">
        <v>1991</v>
      </c>
      <c r="CS104" t="s">
        <v>121</v>
      </c>
    </row>
    <row r="105" spans="1:97" ht="16.350000000000001" customHeight="1" x14ac:dyDescent="0.25">
      <c r="A105" s="16"/>
      <c r="B105" s="16"/>
      <c r="C105" s="16"/>
      <c r="D105" s="16"/>
      <c r="E105" s="16"/>
      <c r="F105" s="16"/>
      <c r="G105" s="17"/>
      <c r="H105" s="17"/>
      <c r="I105" s="17"/>
      <c r="J105" s="17"/>
      <c r="K105" s="18" t="s">
        <v>1621</v>
      </c>
      <c r="L105" s="18" t="s">
        <v>381</v>
      </c>
      <c r="M105" s="17"/>
      <c r="N105" s="17"/>
      <c r="O105" s="18" t="s">
        <v>1621</v>
      </c>
      <c r="P105" s="17"/>
      <c r="Q105" s="17"/>
      <c r="R105" s="22">
        <v>367</v>
      </c>
      <c r="S105" s="17"/>
      <c r="T105" s="17"/>
      <c r="U105" s="17"/>
      <c r="V105" s="17"/>
      <c r="W105" s="17"/>
      <c r="X105" s="17"/>
      <c r="Y105" s="17"/>
      <c r="Z105" s="17"/>
      <c r="AA105" s="22">
        <v>367</v>
      </c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22">
        <v>183</v>
      </c>
      <c r="AO105" s="17"/>
      <c r="AP105" s="17"/>
      <c r="AQ105" s="17"/>
      <c r="AR105" s="17"/>
      <c r="AS105" s="17"/>
      <c r="AT105" s="17"/>
      <c r="AU105" s="17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t="s">
        <v>1736</v>
      </c>
      <c r="CD105" t="s">
        <v>1882</v>
      </c>
      <c r="CE105" t="s">
        <v>1560</v>
      </c>
      <c r="CF105" t="s">
        <v>1728</v>
      </c>
      <c r="CG105" t="s">
        <v>1659</v>
      </c>
      <c r="CH105" t="s">
        <v>1841</v>
      </c>
      <c r="CL105">
        <v>19</v>
      </c>
      <c r="CM105" t="s">
        <v>1669</v>
      </c>
      <c r="CN105">
        <v>2</v>
      </c>
      <c r="CO105" t="s">
        <v>1560</v>
      </c>
      <c r="CP105" t="s">
        <v>1728</v>
      </c>
      <c r="CQ105" t="s">
        <v>1982</v>
      </c>
      <c r="CR105" t="s">
        <v>2021</v>
      </c>
      <c r="CS105" t="s">
        <v>121</v>
      </c>
    </row>
    <row r="106" spans="1:97" ht="16.350000000000001" customHeight="1" x14ac:dyDescent="0.25">
      <c r="A106" s="16"/>
      <c r="B106" s="16"/>
      <c r="C106" s="16"/>
      <c r="D106" s="16"/>
      <c r="E106" s="16"/>
      <c r="F106" s="16"/>
      <c r="G106" s="17"/>
      <c r="H106" s="17"/>
      <c r="I106" s="17"/>
      <c r="J106" s="17"/>
      <c r="K106" s="18" t="s">
        <v>1622</v>
      </c>
      <c r="L106" s="18" t="s">
        <v>382</v>
      </c>
      <c r="M106" s="17"/>
      <c r="N106" s="17"/>
      <c r="O106" s="18" t="s">
        <v>1622</v>
      </c>
      <c r="P106" s="17"/>
      <c r="Q106" s="17"/>
      <c r="R106" s="22">
        <v>368</v>
      </c>
      <c r="S106" s="17"/>
      <c r="T106" s="17"/>
      <c r="U106" s="17"/>
      <c r="V106" s="17"/>
      <c r="W106" s="17"/>
      <c r="X106" s="17"/>
      <c r="Y106" s="17"/>
      <c r="Z106" s="17"/>
      <c r="AA106" s="22">
        <v>368</v>
      </c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22">
        <v>184</v>
      </c>
      <c r="AO106" s="17"/>
      <c r="AP106" s="17"/>
      <c r="AQ106" s="17"/>
      <c r="AR106" s="17"/>
      <c r="AS106" s="17"/>
      <c r="AT106" s="17"/>
      <c r="AU106" s="17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t="s">
        <v>1736</v>
      </c>
      <c r="CD106" t="s">
        <v>1883</v>
      </c>
      <c r="CE106" t="s">
        <v>1560</v>
      </c>
      <c r="CF106" t="s">
        <v>1729</v>
      </c>
      <c r="CG106" t="s">
        <v>1659</v>
      </c>
      <c r="CH106" t="s">
        <v>1847</v>
      </c>
      <c r="CL106">
        <v>20</v>
      </c>
      <c r="CM106" t="s">
        <v>1670</v>
      </c>
      <c r="CN106">
        <v>2</v>
      </c>
      <c r="CO106" t="s">
        <v>1560</v>
      </c>
      <c r="CP106" t="s">
        <v>1729</v>
      </c>
      <c r="CQ106" t="s">
        <v>1989</v>
      </c>
      <c r="CR106" t="s">
        <v>1993</v>
      </c>
      <c r="CS106" t="s">
        <v>121</v>
      </c>
    </row>
    <row r="107" spans="1:97" ht="16.350000000000001" customHeight="1" x14ac:dyDescent="0.25">
      <c r="A107" s="16"/>
      <c r="B107" s="16"/>
      <c r="C107" s="16"/>
      <c r="D107" s="16"/>
      <c r="E107" s="16"/>
      <c r="F107" s="16"/>
      <c r="G107" s="17"/>
      <c r="H107" s="17"/>
      <c r="I107" s="17"/>
      <c r="J107" s="17"/>
      <c r="K107" s="18" t="s">
        <v>1623</v>
      </c>
      <c r="L107" s="18" t="s">
        <v>383</v>
      </c>
      <c r="M107" s="17"/>
      <c r="N107" s="17"/>
      <c r="O107" s="18" t="s">
        <v>1623</v>
      </c>
      <c r="P107" s="17"/>
      <c r="Q107" s="17"/>
      <c r="R107" s="22">
        <v>369</v>
      </c>
      <c r="S107" s="17"/>
      <c r="T107" s="17"/>
      <c r="U107" s="17"/>
      <c r="V107" s="17"/>
      <c r="W107" s="17"/>
      <c r="X107" s="17"/>
      <c r="Y107" s="17"/>
      <c r="Z107" s="17"/>
      <c r="AA107" s="22">
        <v>369</v>
      </c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22">
        <v>185</v>
      </c>
      <c r="AO107" s="17"/>
      <c r="AP107" s="17"/>
      <c r="AQ107" s="17"/>
      <c r="AR107" s="17"/>
      <c r="AS107" s="17"/>
      <c r="AT107" s="17"/>
      <c r="AU107" s="17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t="s">
        <v>1736</v>
      </c>
      <c r="CD107" t="s">
        <v>1761</v>
      </c>
      <c r="CE107" t="s">
        <v>1560</v>
      </c>
      <c r="CF107" t="s">
        <v>35</v>
      </c>
      <c r="CG107" t="s">
        <v>1659</v>
      </c>
      <c r="CH107" t="s">
        <v>1844</v>
      </c>
      <c r="CL107">
        <v>21</v>
      </c>
      <c r="CM107" t="s">
        <v>1671</v>
      </c>
      <c r="CN107">
        <v>2</v>
      </c>
      <c r="CO107" t="s">
        <v>1560</v>
      </c>
      <c r="CP107" t="s">
        <v>35</v>
      </c>
      <c r="CQ107" t="s">
        <v>1980</v>
      </c>
      <c r="CR107" t="s">
        <v>1994</v>
      </c>
      <c r="CS107" t="s">
        <v>121</v>
      </c>
    </row>
    <row r="108" spans="1:97" ht="16.350000000000001" customHeight="1" x14ac:dyDescent="0.25">
      <c r="A108" s="16"/>
      <c r="B108" s="16"/>
      <c r="C108" s="16"/>
      <c r="D108" s="16"/>
      <c r="E108" s="16"/>
      <c r="F108" s="16"/>
      <c r="G108" s="17"/>
      <c r="H108" s="17"/>
      <c r="I108" s="17"/>
      <c r="J108" s="17"/>
      <c r="K108" s="18" t="s">
        <v>1624</v>
      </c>
      <c r="L108" s="18" t="s">
        <v>384</v>
      </c>
      <c r="M108" s="17"/>
      <c r="N108" s="17"/>
      <c r="O108" s="18" t="s">
        <v>1624</v>
      </c>
      <c r="P108" s="17"/>
      <c r="Q108" s="17"/>
      <c r="R108" s="22">
        <v>370</v>
      </c>
      <c r="S108" s="17"/>
      <c r="T108" s="17"/>
      <c r="U108" s="17"/>
      <c r="V108" s="17"/>
      <c r="W108" s="17"/>
      <c r="X108" s="17"/>
      <c r="Y108" s="17"/>
      <c r="Z108" s="17"/>
      <c r="AA108" s="22">
        <v>370</v>
      </c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22">
        <v>186</v>
      </c>
      <c r="AO108" s="17"/>
      <c r="AP108" s="17"/>
      <c r="AQ108" s="17"/>
      <c r="AR108" s="17"/>
      <c r="AS108" s="17"/>
      <c r="AT108" s="17"/>
      <c r="AU108" s="17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t="s">
        <v>1736</v>
      </c>
      <c r="CD108" t="s">
        <v>1884</v>
      </c>
      <c r="CE108" t="s">
        <v>1560</v>
      </c>
      <c r="CF108" t="s">
        <v>1730</v>
      </c>
      <c r="CG108" t="s">
        <v>1659</v>
      </c>
      <c r="CH108" t="s">
        <v>1849</v>
      </c>
      <c r="CL108">
        <v>22</v>
      </c>
      <c r="CM108" t="s">
        <v>1672</v>
      </c>
      <c r="CN108">
        <v>2</v>
      </c>
      <c r="CO108" t="s">
        <v>1560</v>
      </c>
      <c r="CP108" t="s">
        <v>1730</v>
      </c>
      <c r="CQ108" t="s">
        <v>2008</v>
      </c>
      <c r="CR108" t="s">
        <v>1996</v>
      </c>
      <c r="CS108" t="s">
        <v>121</v>
      </c>
    </row>
    <row r="109" spans="1:97" ht="16.350000000000001" customHeight="1" x14ac:dyDescent="0.25">
      <c r="A109" s="16"/>
      <c r="B109" s="16"/>
      <c r="C109" s="16"/>
      <c r="D109" s="16"/>
      <c r="E109" s="16"/>
      <c r="F109" s="16"/>
      <c r="G109" s="17"/>
      <c r="H109" s="17"/>
      <c r="I109" s="17"/>
      <c r="J109" s="17"/>
      <c r="K109" s="18" t="s">
        <v>1625</v>
      </c>
      <c r="L109" s="18" t="s">
        <v>385</v>
      </c>
      <c r="M109" s="17"/>
      <c r="N109" s="17"/>
      <c r="O109" s="18" t="s">
        <v>1625</v>
      </c>
      <c r="P109" s="17"/>
      <c r="Q109" s="17"/>
      <c r="R109" s="22">
        <v>371</v>
      </c>
      <c r="S109" s="17"/>
      <c r="T109" s="17"/>
      <c r="U109" s="17"/>
      <c r="V109" s="17"/>
      <c r="W109" s="17"/>
      <c r="X109" s="17"/>
      <c r="Y109" s="17"/>
      <c r="Z109" s="17"/>
      <c r="AA109" s="22">
        <v>371</v>
      </c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22">
        <v>187</v>
      </c>
      <c r="AO109" s="17"/>
      <c r="AP109" s="17"/>
      <c r="AQ109" s="17"/>
      <c r="AR109" s="17"/>
      <c r="AS109" s="17"/>
      <c r="AT109" s="17"/>
      <c r="AU109" s="17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t="s">
        <v>1736</v>
      </c>
      <c r="CD109" t="s">
        <v>1885</v>
      </c>
      <c r="CE109" t="s">
        <v>1560</v>
      </c>
      <c r="CF109" t="s">
        <v>1821</v>
      </c>
      <c r="CG109" t="s">
        <v>1659</v>
      </c>
      <c r="CH109" t="s">
        <v>1847</v>
      </c>
      <c r="CL109">
        <v>23</v>
      </c>
      <c r="CM109" t="s">
        <v>1673</v>
      </c>
      <c r="CN109">
        <v>2</v>
      </c>
      <c r="CO109" t="s">
        <v>1560</v>
      </c>
      <c r="CP109" t="s">
        <v>1821</v>
      </c>
      <c r="CQ109" t="s">
        <v>1989</v>
      </c>
      <c r="CR109" t="s">
        <v>1997</v>
      </c>
      <c r="CS109" t="s">
        <v>121</v>
      </c>
    </row>
    <row r="110" spans="1:97" ht="16.350000000000001" customHeight="1" x14ac:dyDescent="0.25">
      <c r="A110" s="16"/>
      <c r="B110" s="16"/>
      <c r="C110" s="16"/>
      <c r="D110" s="16"/>
      <c r="E110" s="16"/>
      <c r="F110" s="16"/>
      <c r="G110" s="17"/>
      <c r="H110" s="17"/>
      <c r="I110" s="17"/>
      <c r="J110" s="17"/>
      <c r="K110" s="18" t="s">
        <v>362</v>
      </c>
      <c r="L110" s="18" t="s">
        <v>386</v>
      </c>
      <c r="M110" s="17"/>
      <c r="N110" s="17"/>
      <c r="O110" s="18" t="s">
        <v>362</v>
      </c>
      <c r="P110" s="17"/>
      <c r="Q110" s="17"/>
      <c r="R110" s="22">
        <v>372</v>
      </c>
      <c r="S110" s="17"/>
      <c r="T110" s="17"/>
      <c r="U110" s="17"/>
      <c r="V110" s="17"/>
      <c r="W110" s="17"/>
      <c r="X110" s="17"/>
      <c r="Y110" s="17"/>
      <c r="Z110" s="17"/>
      <c r="AA110" s="22">
        <v>372</v>
      </c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22">
        <v>188</v>
      </c>
      <c r="AO110" s="17"/>
      <c r="AP110" s="17"/>
      <c r="AQ110" s="17"/>
      <c r="AR110" s="17"/>
      <c r="AS110" s="17"/>
      <c r="AT110" s="17"/>
      <c r="AU110" s="17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t="s">
        <v>1736</v>
      </c>
      <c r="CD110" t="s">
        <v>1762</v>
      </c>
      <c r="CE110" t="s">
        <v>1560</v>
      </c>
      <c r="CF110" t="s">
        <v>23</v>
      </c>
      <c r="CG110" t="s">
        <v>1664</v>
      </c>
      <c r="CH110" t="s">
        <v>1853</v>
      </c>
      <c r="CL110">
        <v>24</v>
      </c>
      <c r="CM110" t="s">
        <v>1674</v>
      </c>
      <c r="CN110">
        <v>2</v>
      </c>
      <c r="CO110" t="s">
        <v>1560</v>
      </c>
      <c r="CP110" t="s">
        <v>23</v>
      </c>
      <c r="CQ110" t="s">
        <v>2043</v>
      </c>
      <c r="CR110" t="s">
        <v>2044</v>
      </c>
      <c r="CS110" t="s">
        <v>121</v>
      </c>
    </row>
    <row r="111" spans="1:97" ht="16.350000000000001" customHeight="1" x14ac:dyDescent="0.25">
      <c r="A111" s="16"/>
      <c r="B111" s="16"/>
      <c r="C111" s="16"/>
      <c r="D111" s="16"/>
      <c r="E111" s="16"/>
      <c r="F111" s="16"/>
      <c r="G111" s="17"/>
      <c r="H111" s="17"/>
      <c r="I111" s="17"/>
      <c r="J111" s="17"/>
      <c r="K111" s="18" t="s">
        <v>1626</v>
      </c>
      <c r="L111" s="18" t="s">
        <v>387</v>
      </c>
      <c r="M111" s="17"/>
      <c r="N111" s="17"/>
      <c r="O111" s="18" t="s">
        <v>1626</v>
      </c>
      <c r="P111" s="17"/>
      <c r="Q111" s="17"/>
      <c r="R111" s="22">
        <v>373</v>
      </c>
      <c r="S111" s="17"/>
      <c r="T111" s="17"/>
      <c r="U111" s="17"/>
      <c r="V111" s="17"/>
      <c r="W111" s="17"/>
      <c r="X111" s="17"/>
      <c r="Y111" s="17"/>
      <c r="Z111" s="17"/>
      <c r="AA111" s="22">
        <v>373</v>
      </c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22">
        <v>189</v>
      </c>
      <c r="AO111" s="17"/>
      <c r="AP111" s="17"/>
      <c r="AQ111" s="17"/>
      <c r="AR111" s="17"/>
      <c r="AS111" s="17"/>
      <c r="AT111" s="17"/>
      <c r="AU111" s="17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t="s">
        <v>1736</v>
      </c>
      <c r="CD111" t="s">
        <v>93</v>
      </c>
      <c r="CE111" t="s">
        <v>1560</v>
      </c>
      <c r="CF111" t="s">
        <v>24</v>
      </c>
      <c r="CG111" t="s">
        <v>1659</v>
      </c>
      <c r="CH111" t="s">
        <v>1830</v>
      </c>
      <c r="CL111">
        <v>25</v>
      </c>
      <c r="CM111" t="s">
        <v>1675</v>
      </c>
      <c r="CN111">
        <v>2</v>
      </c>
      <c r="CO111" t="s">
        <v>1560</v>
      </c>
      <c r="CP111" t="s">
        <v>24</v>
      </c>
      <c r="CQ111" t="s">
        <v>2011</v>
      </c>
      <c r="CR111" t="s">
        <v>2045</v>
      </c>
      <c r="CS111" t="s">
        <v>121</v>
      </c>
    </row>
    <row r="112" spans="1:97" ht="16.350000000000001" customHeight="1" x14ac:dyDescent="0.25">
      <c r="A112" s="16"/>
      <c r="B112" s="16"/>
      <c r="C112" s="16"/>
      <c r="D112" s="16"/>
      <c r="E112" s="16"/>
      <c r="F112" s="16"/>
      <c r="G112" s="17"/>
      <c r="H112" s="17"/>
      <c r="I112" s="17"/>
      <c r="J112" s="17"/>
      <c r="K112" s="18" t="s">
        <v>388</v>
      </c>
      <c r="L112" s="18" t="s">
        <v>389</v>
      </c>
      <c r="M112" s="17"/>
      <c r="N112" s="17"/>
      <c r="O112" s="18" t="s">
        <v>388</v>
      </c>
      <c r="P112" s="17"/>
      <c r="Q112" s="17"/>
      <c r="R112" s="22">
        <v>374</v>
      </c>
      <c r="S112" s="17"/>
      <c r="T112" s="17"/>
      <c r="U112" s="17"/>
      <c r="V112" s="17"/>
      <c r="W112" s="17"/>
      <c r="X112" s="17"/>
      <c r="Y112" s="17"/>
      <c r="Z112" s="17"/>
      <c r="AA112" s="22">
        <v>374</v>
      </c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22">
        <v>19</v>
      </c>
      <c r="AO112" s="17"/>
      <c r="AP112" s="17"/>
      <c r="AQ112" s="17"/>
      <c r="AR112" s="17"/>
      <c r="AS112" s="17"/>
      <c r="AT112" s="17"/>
      <c r="AU112" s="17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t="s">
        <v>1736</v>
      </c>
      <c r="CD112" t="s">
        <v>1763</v>
      </c>
      <c r="CE112" t="s">
        <v>1560</v>
      </c>
      <c r="CF112" t="s">
        <v>25</v>
      </c>
      <c r="CG112" t="s">
        <v>1664</v>
      </c>
      <c r="CH112" t="s">
        <v>1854</v>
      </c>
      <c r="CL112">
        <v>26</v>
      </c>
      <c r="CM112" t="s">
        <v>1687</v>
      </c>
      <c r="CN112">
        <v>2</v>
      </c>
      <c r="CO112" t="s">
        <v>1560</v>
      </c>
      <c r="CP112" t="s">
        <v>25</v>
      </c>
      <c r="CQ112" t="s">
        <v>2004</v>
      </c>
      <c r="CR112" t="s">
        <v>2046</v>
      </c>
      <c r="CS112" t="s">
        <v>121</v>
      </c>
    </row>
    <row r="113" spans="1:97" ht="16.350000000000001" customHeight="1" x14ac:dyDescent="0.25">
      <c r="A113" s="16"/>
      <c r="B113" s="16"/>
      <c r="C113" s="16"/>
      <c r="D113" s="16"/>
      <c r="E113" s="16"/>
      <c r="F113" s="16"/>
      <c r="G113" s="17"/>
      <c r="H113" s="17"/>
      <c r="I113" s="17"/>
      <c r="J113" s="17"/>
      <c r="K113" s="18" t="s">
        <v>1627</v>
      </c>
      <c r="L113" s="18" t="s">
        <v>390</v>
      </c>
      <c r="M113" s="17"/>
      <c r="N113" s="17"/>
      <c r="O113" s="18" t="s">
        <v>1627</v>
      </c>
      <c r="P113" s="17"/>
      <c r="Q113" s="17"/>
      <c r="R113" s="22">
        <v>375</v>
      </c>
      <c r="S113" s="17"/>
      <c r="T113" s="17"/>
      <c r="U113" s="17"/>
      <c r="V113" s="17"/>
      <c r="W113" s="17"/>
      <c r="X113" s="17"/>
      <c r="Y113" s="17"/>
      <c r="Z113" s="17"/>
      <c r="AA113" s="22">
        <v>375</v>
      </c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22">
        <v>190</v>
      </c>
      <c r="AO113" s="17"/>
      <c r="AP113" s="17"/>
      <c r="AQ113" s="17"/>
      <c r="AR113" s="17"/>
      <c r="AS113" s="17"/>
      <c r="AT113" s="17"/>
      <c r="AU113" s="17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t="s">
        <v>1736</v>
      </c>
      <c r="CD113" t="s">
        <v>1764</v>
      </c>
      <c r="CE113" t="s">
        <v>1560</v>
      </c>
      <c r="CF113" t="s">
        <v>26</v>
      </c>
      <c r="CG113" t="s">
        <v>1659</v>
      </c>
      <c r="CH113" t="s">
        <v>1826</v>
      </c>
      <c r="CL113">
        <v>27</v>
      </c>
      <c r="CM113" t="s">
        <v>1688</v>
      </c>
      <c r="CN113">
        <v>2</v>
      </c>
      <c r="CO113" t="s">
        <v>1560</v>
      </c>
      <c r="CP113" t="s">
        <v>26</v>
      </c>
      <c r="CQ113" t="s">
        <v>2047</v>
      </c>
      <c r="CR113" t="s">
        <v>2048</v>
      </c>
      <c r="CS113" t="s">
        <v>121</v>
      </c>
    </row>
    <row r="114" spans="1:97" ht="16.350000000000001" customHeight="1" x14ac:dyDescent="0.25">
      <c r="A114" s="16"/>
      <c r="B114" s="16"/>
      <c r="C114" s="16"/>
      <c r="D114" s="16"/>
      <c r="E114" s="16"/>
      <c r="F114" s="16"/>
      <c r="G114" s="17"/>
      <c r="H114" s="17"/>
      <c r="I114" s="17"/>
      <c r="J114" s="17"/>
      <c r="K114" s="18" t="s">
        <v>391</v>
      </c>
      <c r="L114" s="18" t="s">
        <v>392</v>
      </c>
      <c r="M114" s="17"/>
      <c r="N114" s="17"/>
      <c r="O114" s="18" t="s">
        <v>391</v>
      </c>
      <c r="P114" s="17"/>
      <c r="Q114" s="17"/>
      <c r="R114" s="22">
        <v>377</v>
      </c>
      <c r="S114" s="17"/>
      <c r="T114" s="17"/>
      <c r="U114" s="17"/>
      <c r="V114" s="17"/>
      <c r="W114" s="17"/>
      <c r="X114" s="17"/>
      <c r="Y114" s="17"/>
      <c r="Z114" s="17"/>
      <c r="AA114" s="22">
        <v>377</v>
      </c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22">
        <v>191</v>
      </c>
      <c r="AO114" s="17"/>
      <c r="AP114" s="17"/>
      <c r="AQ114" s="17"/>
      <c r="AR114" s="17"/>
      <c r="AS114" s="17"/>
      <c r="AT114" s="17"/>
      <c r="AU114" s="17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t="s">
        <v>1736</v>
      </c>
      <c r="CD114" t="s">
        <v>1886</v>
      </c>
      <c r="CE114" t="s">
        <v>1560</v>
      </c>
      <c r="CF114" t="s">
        <v>1717</v>
      </c>
      <c r="CG114" t="s">
        <v>1659</v>
      </c>
      <c r="CH114" t="s">
        <v>1849</v>
      </c>
      <c r="CL114">
        <v>28</v>
      </c>
      <c r="CM114" t="s">
        <v>1689</v>
      </c>
      <c r="CN114">
        <v>2</v>
      </c>
      <c r="CO114" t="s">
        <v>1560</v>
      </c>
      <c r="CP114" t="s">
        <v>1717</v>
      </c>
      <c r="CQ114" t="s">
        <v>2008</v>
      </c>
      <c r="CR114" t="s">
        <v>2049</v>
      </c>
      <c r="CS114" t="s">
        <v>121</v>
      </c>
    </row>
    <row r="115" spans="1:97" ht="16.350000000000001" customHeight="1" x14ac:dyDescent="0.25">
      <c r="A115" s="16"/>
      <c r="B115" s="16"/>
      <c r="C115" s="16"/>
      <c r="D115" s="16"/>
      <c r="E115" s="16"/>
      <c r="F115" s="16"/>
      <c r="G115" s="17"/>
      <c r="H115" s="17"/>
      <c r="I115" s="17"/>
      <c r="J115" s="17"/>
      <c r="K115" s="18" t="s">
        <v>378</v>
      </c>
      <c r="L115" s="18" t="s">
        <v>393</v>
      </c>
      <c r="M115" s="17"/>
      <c r="N115" s="17"/>
      <c r="O115" s="18" t="s">
        <v>378</v>
      </c>
      <c r="P115" s="17"/>
      <c r="Q115" s="17"/>
      <c r="R115" s="22">
        <v>379</v>
      </c>
      <c r="S115" s="17"/>
      <c r="T115" s="17"/>
      <c r="U115" s="17"/>
      <c r="V115" s="17"/>
      <c r="W115" s="17"/>
      <c r="X115" s="17"/>
      <c r="Y115" s="17"/>
      <c r="Z115" s="17"/>
      <c r="AA115" s="22">
        <v>379</v>
      </c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22">
        <v>192</v>
      </c>
      <c r="AO115" s="17"/>
      <c r="AP115" s="17"/>
      <c r="AQ115" s="17"/>
      <c r="AR115" s="17"/>
      <c r="AS115" s="17"/>
      <c r="AT115" s="17"/>
      <c r="AU115" s="17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t="s">
        <v>1736</v>
      </c>
      <c r="CD115" t="s">
        <v>1765</v>
      </c>
      <c r="CE115" t="s">
        <v>1560</v>
      </c>
      <c r="CF115" t="s">
        <v>1552</v>
      </c>
      <c r="CG115" t="s">
        <v>1664</v>
      </c>
      <c r="CH115" t="s">
        <v>1835</v>
      </c>
      <c r="CL115">
        <v>29</v>
      </c>
      <c r="CM115" t="s">
        <v>1690</v>
      </c>
      <c r="CN115">
        <v>2</v>
      </c>
      <c r="CO115" t="s">
        <v>1560</v>
      </c>
      <c r="CP115" t="s">
        <v>1552</v>
      </c>
      <c r="CQ115" t="s">
        <v>1962</v>
      </c>
      <c r="CR115" t="s">
        <v>2050</v>
      </c>
      <c r="CS115" t="s">
        <v>121</v>
      </c>
    </row>
    <row r="116" spans="1:97" ht="16.350000000000001" customHeight="1" x14ac:dyDescent="0.25">
      <c r="A116" s="16"/>
      <c r="B116" s="16"/>
      <c r="C116" s="16"/>
      <c r="D116" s="16"/>
      <c r="E116" s="16"/>
      <c r="F116" s="16"/>
      <c r="G116" s="17"/>
      <c r="H116" s="17"/>
      <c r="I116" s="17"/>
      <c r="J116" s="17"/>
      <c r="K116" s="18" t="s">
        <v>1628</v>
      </c>
      <c r="L116" s="18" t="s">
        <v>394</v>
      </c>
      <c r="M116" s="17"/>
      <c r="N116" s="17"/>
      <c r="O116" s="18" t="s">
        <v>1628</v>
      </c>
      <c r="P116" s="17"/>
      <c r="Q116" s="17"/>
      <c r="R116" s="22">
        <v>383</v>
      </c>
      <c r="S116" s="17"/>
      <c r="T116" s="17"/>
      <c r="U116" s="17"/>
      <c r="V116" s="17"/>
      <c r="W116" s="17"/>
      <c r="X116" s="17"/>
      <c r="Y116" s="17"/>
      <c r="Z116" s="17"/>
      <c r="AA116" s="22">
        <v>383</v>
      </c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22">
        <v>193</v>
      </c>
      <c r="AO116" s="17"/>
      <c r="AP116" s="17"/>
      <c r="AQ116" s="17"/>
      <c r="AR116" s="17"/>
      <c r="AS116" s="17"/>
      <c r="AT116" s="17"/>
      <c r="AU116" s="17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t="s">
        <v>1887</v>
      </c>
      <c r="CE116" t="s">
        <v>1561</v>
      </c>
      <c r="CF116" t="s">
        <v>1572</v>
      </c>
      <c r="CL116">
        <v>1</v>
      </c>
      <c r="CM116" t="s">
        <v>1936</v>
      </c>
      <c r="CN116">
        <v>2</v>
      </c>
      <c r="CO116" t="s">
        <v>1561</v>
      </c>
      <c r="CP116" t="s">
        <v>1572</v>
      </c>
      <c r="CQ116" t="s">
        <v>121</v>
      </c>
      <c r="CR116" t="s">
        <v>121</v>
      </c>
      <c r="CS116" t="s">
        <v>121</v>
      </c>
    </row>
    <row r="117" spans="1:97" ht="16.350000000000001" customHeight="1" x14ac:dyDescent="0.25">
      <c r="A117" s="16"/>
      <c r="B117" s="16"/>
      <c r="C117" s="16"/>
      <c r="D117" s="16"/>
      <c r="E117" s="16"/>
      <c r="F117" s="16"/>
      <c r="G117" s="17"/>
      <c r="H117" s="17"/>
      <c r="I117" s="17"/>
      <c r="J117" s="17"/>
      <c r="K117" s="18" t="s">
        <v>1629</v>
      </c>
      <c r="L117" s="18" t="s">
        <v>395</v>
      </c>
      <c r="M117" s="17"/>
      <c r="N117" s="17"/>
      <c r="O117" s="18" t="s">
        <v>1629</v>
      </c>
      <c r="P117" s="17"/>
      <c r="Q117" s="17"/>
      <c r="R117" s="22">
        <v>384</v>
      </c>
      <c r="S117" s="17"/>
      <c r="T117" s="17"/>
      <c r="U117" s="17"/>
      <c r="V117" s="17"/>
      <c r="W117" s="17"/>
      <c r="X117" s="17"/>
      <c r="Y117" s="17"/>
      <c r="Z117" s="17"/>
      <c r="AA117" s="22">
        <v>384</v>
      </c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22">
        <v>194</v>
      </c>
      <c r="AO117" s="17"/>
      <c r="AP117" s="17"/>
      <c r="AQ117" s="17"/>
      <c r="AR117" s="17"/>
      <c r="AS117" s="17"/>
      <c r="AT117" s="17"/>
      <c r="AU117" s="17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t="s">
        <v>1887</v>
      </c>
      <c r="CE117" t="s">
        <v>1561</v>
      </c>
      <c r="CF117" t="s">
        <v>1571</v>
      </c>
      <c r="CL117">
        <v>2</v>
      </c>
      <c r="CM117" t="s">
        <v>1939</v>
      </c>
      <c r="CN117">
        <v>2</v>
      </c>
      <c r="CO117" t="s">
        <v>1561</v>
      </c>
      <c r="CP117" t="s">
        <v>1571</v>
      </c>
      <c r="CQ117" t="s">
        <v>1964</v>
      </c>
      <c r="CR117" t="s">
        <v>1965</v>
      </c>
      <c r="CS117" t="s">
        <v>121</v>
      </c>
    </row>
    <row r="118" spans="1:97" ht="16.350000000000001" customHeight="1" x14ac:dyDescent="0.25">
      <c r="A118" s="16"/>
      <c r="B118" s="16"/>
      <c r="C118" s="16"/>
      <c r="D118" s="16"/>
      <c r="E118" s="16"/>
      <c r="F118" s="16"/>
      <c r="G118" s="17"/>
      <c r="H118" s="17"/>
      <c r="I118" s="17"/>
      <c r="J118" s="17"/>
      <c r="K118" s="18" t="s">
        <v>397</v>
      </c>
      <c r="L118" s="18" t="s">
        <v>398</v>
      </c>
      <c r="M118" s="17"/>
      <c r="N118" s="17"/>
      <c r="O118" s="18" t="s">
        <v>397</v>
      </c>
      <c r="P118" s="17"/>
      <c r="Q118" s="17"/>
      <c r="R118" s="22">
        <v>385</v>
      </c>
      <c r="S118" s="17"/>
      <c r="T118" s="17"/>
      <c r="U118" s="17"/>
      <c r="V118" s="17"/>
      <c r="W118" s="17"/>
      <c r="X118" s="17"/>
      <c r="Y118" s="17"/>
      <c r="Z118" s="17"/>
      <c r="AA118" s="22">
        <v>385</v>
      </c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22">
        <v>195</v>
      </c>
      <c r="AO118" s="17"/>
      <c r="AP118" s="17"/>
      <c r="AQ118" s="17"/>
      <c r="AR118" s="17"/>
      <c r="AS118" s="17"/>
      <c r="AT118" s="17"/>
      <c r="AU118" s="17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t="s">
        <v>1887</v>
      </c>
      <c r="CD118" t="s">
        <v>1766</v>
      </c>
      <c r="CE118" t="s">
        <v>1561</v>
      </c>
      <c r="CF118" t="s">
        <v>27</v>
      </c>
      <c r="CG118" t="s">
        <v>1659</v>
      </c>
      <c r="CH118" t="s">
        <v>113</v>
      </c>
      <c r="CL118">
        <v>3</v>
      </c>
      <c r="CM118" t="s">
        <v>1659</v>
      </c>
      <c r="CN118">
        <v>2</v>
      </c>
      <c r="CO118" t="s">
        <v>1561</v>
      </c>
      <c r="CP118" t="s">
        <v>27</v>
      </c>
      <c r="CQ118" t="s">
        <v>1966</v>
      </c>
      <c r="CR118" t="s">
        <v>1967</v>
      </c>
      <c r="CS118" t="s">
        <v>121</v>
      </c>
    </row>
    <row r="119" spans="1:97" ht="16.350000000000001" customHeight="1" x14ac:dyDescent="0.25">
      <c r="A119" s="16"/>
      <c r="B119" s="16"/>
      <c r="C119" s="16"/>
      <c r="D119" s="16"/>
      <c r="E119" s="16"/>
      <c r="F119" s="16"/>
      <c r="G119" s="17"/>
      <c r="H119" s="17"/>
      <c r="I119" s="17"/>
      <c r="J119" s="17"/>
      <c r="K119" s="18" t="s">
        <v>399</v>
      </c>
      <c r="L119" s="18" t="s">
        <v>400</v>
      </c>
      <c r="M119" s="17"/>
      <c r="N119" s="17"/>
      <c r="O119" s="18" t="s">
        <v>399</v>
      </c>
      <c r="P119" s="17"/>
      <c r="Q119" s="17"/>
      <c r="R119" s="22">
        <v>386</v>
      </c>
      <c r="S119" s="17"/>
      <c r="T119" s="17"/>
      <c r="U119" s="17"/>
      <c r="V119" s="17"/>
      <c r="W119" s="17"/>
      <c r="X119" s="17"/>
      <c r="Y119" s="17"/>
      <c r="Z119" s="17"/>
      <c r="AA119" s="22">
        <v>386</v>
      </c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22">
        <v>196</v>
      </c>
      <c r="AO119" s="17"/>
      <c r="AP119" s="17"/>
      <c r="AQ119" s="17"/>
      <c r="AR119" s="17"/>
      <c r="AS119" s="17"/>
      <c r="AT119" s="17"/>
      <c r="AU119" s="17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t="s">
        <v>1887</v>
      </c>
      <c r="CD119" t="s">
        <v>96</v>
      </c>
      <c r="CE119" t="s">
        <v>1561</v>
      </c>
      <c r="CF119" t="s">
        <v>31</v>
      </c>
      <c r="CG119" t="s">
        <v>1659</v>
      </c>
      <c r="CH119" t="s">
        <v>1830</v>
      </c>
      <c r="CL119">
        <v>4</v>
      </c>
      <c r="CM119" t="s">
        <v>1944</v>
      </c>
      <c r="CN119">
        <v>2</v>
      </c>
      <c r="CO119" t="s">
        <v>1561</v>
      </c>
      <c r="CP119" t="s">
        <v>31</v>
      </c>
      <c r="CQ119" t="s">
        <v>2011</v>
      </c>
      <c r="CR119" t="s">
        <v>2051</v>
      </c>
      <c r="CS119" t="s">
        <v>121</v>
      </c>
    </row>
    <row r="120" spans="1:97" ht="16.350000000000001" customHeight="1" x14ac:dyDescent="0.25">
      <c r="A120" s="16"/>
      <c r="B120" s="16"/>
      <c r="C120" s="16"/>
      <c r="D120" s="16"/>
      <c r="E120" s="16"/>
      <c r="F120" s="16"/>
      <c r="G120" s="17"/>
      <c r="H120" s="17"/>
      <c r="I120" s="17"/>
      <c r="J120" s="17"/>
      <c r="K120" s="18" t="s">
        <v>396</v>
      </c>
      <c r="L120" s="18" t="s">
        <v>401</v>
      </c>
      <c r="M120" s="17"/>
      <c r="N120" s="17"/>
      <c r="O120" s="18" t="s">
        <v>396</v>
      </c>
      <c r="P120" s="17"/>
      <c r="Q120" s="17"/>
      <c r="R120" s="22">
        <v>387</v>
      </c>
      <c r="S120" s="17"/>
      <c r="T120" s="17"/>
      <c r="U120" s="17"/>
      <c r="V120" s="17"/>
      <c r="W120" s="17"/>
      <c r="X120" s="17"/>
      <c r="Y120" s="17"/>
      <c r="Z120" s="17"/>
      <c r="AA120" s="22">
        <v>387</v>
      </c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22">
        <v>197</v>
      </c>
      <c r="AO120" s="17"/>
      <c r="AP120" s="17"/>
      <c r="AQ120" s="17"/>
      <c r="AR120" s="17"/>
      <c r="AS120" s="17"/>
      <c r="AT120" s="17"/>
      <c r="AU120" s="17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t="s">
        <v>1887</v>
      </c>
      <c r="CD120" t="s">
        <v>1767</v>
      </c>
      <c r="CE120" t="s">
        <v>1561</v>
      </c>
      <c r="CF120" t="s">
        <v>28</v>
      </c>
      <c r="CG120" t="s">
        <v>1659</v>
      </c>
      <c r="CH120" t="s">
        <v>156</v>
      </c>
      <c r="CL120">
        <v>5</v>
      </c>
      <c r="CM120" t="s">
        <v>1951</v>
      </c>
      <c r="CN120">
        <v>2</v>
      </c>
      <c r="CO120" t="s">
        <v>1561</v>
      </c>
      <c r="CP120" t="s">
        <v>28</v>
      </c>
      <c r="CQ120" t="s">
        <v>1968</v>
      </c>
      <c r="CR120" t="s">
        <v>2052</v>
      </c>
      <c r="CS120" t="s">
        <v>121</v>
      </c>
    </row>
    <row r="121" spans="1:97" ht="16.350000000000001" customHeight="1" x14ac:dyDescent="0.25">
      <c r="A121" s="16"/>
      <c r="B121" s="16"/>
      <c r="C121" s="16"/>
      <c r="D121" s="16"/>
      <c r="E121" s="16"/>
      <c r="F121" s="16"/>
      <c r="G121" s="17"/>
      <c r="H121" s="17"/>
      <c r="I121" s="17"/>
      <c r="J121" s="17"/>
      <c r="K121" s="18" t="s">
        <v>402</v>
      </c>
      <c r="L121" s="18" t="s">
        <v>403</v>
      </c>
      <c r="M121" s="17"/>
      <c r="N121" s="17"/>
      <c r="O121" s="18" t="s">
        <v>402</v>
      </c>
      <c r="P121" s="17"/>
      <c r="Q121" s="17"/>
      <c r="R121" s="22">
        <v>388</v>
      </c>
      <c r="S121" s="17"/>
      <c r="T121" s="17"/>
      <c r="U121" s="17"/>
      <c r="V121" s="17"/>
      <c r="W121" s="17"/>
      <c r="X121" s="17"/>
      <c r="Y121" s="17"/>
      <c r="Z121" s="17"/>
      <c r="AA121" s="22">
        <v>388</v>
      </c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22">
        <v>198</v>
      </c>
      <c r="AO121" s="17"/>
      <c r="AP121" s="17"/>
      <c r="AQ121" s="17"/>
      <c r="AR121" s="17"/>
      <c r="AS121" s="17"/>
      <c r="AT121" s="17"/>
      <c r="AU121" s="17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t="s">
        <v>1887</v>
      </c>
      <c r="CD121" t="s">
        <v>1768</v>
      </c>
      <c r="CE121" t="s">
        <v>1561</v>
      </c>
      <c r="CF121" t="s">
        <v>43</v>
      </c>
      <c r="CG121" t="s">
        <v>1659</v>
      </c>
      <c r="CH121" t="s">
        <v>1836</v>
      </c>
      <c r="CL121">
        <v>6</v>
      </c>
      <c r="CM121" t="s">
        <v>1632</v>
      </c>
      <c r="CN121">
        <v>2</v>
      </c>
      <c r="CO121" t="s">
        <v>1561</v>
      </c>
      <c r="CP121" t="s">
        <v>43</v>
      </c>
      <c r="CQ121" t="s">
        <v>2053</v>
      </c>
      <c r="CR121" t="s">
        <v>2033</v>
      </c>
      <c r="CS121" t="s">
        <v>121</v>
      </c>
    </row>
    <row r="122" spans="1:97" ht="16.350000000000001" customHeight="1" x14ac:dyDescent="0.25">
      <c r="A122" s="16"/>
      <c r="B122" s="16"/>
      <c r="C122" s="16"/>
      <c r="D122" s="16"/>
      <c r="E122" s="16"/>
      <c r="F122" s="16"/>
      <c r="G122" s="17"/>
      <c r="H122" s="17"/>
      <c r="I122" s="17"/>
      <c r="J122" s="17"/>
      <c r="K122" s="18" t="s">
        <v>404</v>
      </c>
      <c r="L122" s="18" t="s">
        <v>405</v>
      </c>
      <c r="M122" s="17"/>
      <c r="N122" s="17"/>
      <c r="O122" s="18" t="s">
        <v>404</v>
      </c>
      <c r="P122" s="17"/>
      <c r="Q122" s="17"/>
      <c r="R122" s="22">
        <v>390</v>
      </c>
      <c r="S122" s="17"/>
      <c r="T122" s="17"/>
      <c r="U122" s="17"/>
      <c r="V122" s="17"/>
      <c r="W122" s="17"/>
      <c r="X122" s="17"/>
      <c r="Y122" s="17"/>
      <c r="Z122" s="17"/>
      <c r="AA122" s="22">
        <v>390</v>
      </c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22">
        <v>199</v>
      </c>
      <c r="AO122" s="17"/>
      <c r="AP122" s="17"/>
      <c r="AQ122" s="17"/>
      <c r="AR122" s="17"/>
      <c r="AS122" s="17"/>
      <c r="AT122" s="17"/>
      <c r="AU122" s="17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t="s">
        <v>1887</v>
      </c>
      <c r="CD122" t="s">
        <v>97</v>
      </c>
      <c r="CE122" t="s">
        <v>1561</v>
      </c>
      <c r="CF122" t="s">
        <v>15</v>
      </c>
      <c r="CG122" t="s">
        <v>1659</v>
      </c>
      <c r="CH122" t="s">
        <v>1830</v>
      </c>
      <c r="CL122">
        <v>7</v>
      </c>
      <c r="CM122" t="s">
        <v>1660</v>
      </c>
      <c r="CN122">
        <v>2</v>
      </c>
      <c r="CO122" t="s">
        <v>1561</v>
      </c>
      <c r="CP122" t="s">
        <v>15</v>
      </c>
      <c r="CQ122" t="s">
        <v>2011</v>
      </c>
      <c r="CR122" t="s">
        <v>2054</v>
      </c>
      <c r="CS122" t="s">
        <v>121</v>
      </c>
    </row>
    <row r="123" spans="1:97" ht="16.350000000000001" customHeight="1" x14ac:dyDescent="0.25">
      <c r="A123" s="16"/>
      <c r="B123" s="16"/>
      <c r="C123" s="16"/>
      <c r="D123" s="16"/>
      <c r="E123" s="16"/>
      <c r="F123" s="16"/>
      <c r="G123" s="17"/>
      <c r="H123" s="17"/>
      <c r="I123" s="17"/>
      <c r="J123" s="17"/>
      <c r="K123" s="18" t="s">
        <v>406</v>
      </c>
      <c r="L123" s="18" t="s">
        <v>407</v>
      </c>
      <c r="M123" s="17"/>
      <c r="N123" s="17"/>
      <c r="O123" s="18" t="s">
        <v>406</v>
      </c>
      <c r="P123" s="17"/>
      <c r="Q123" s="17"/>
      <c r="R123" s="22">
        <v>391</v>
      </c>
      <c r="S123" s="17"/>
      <c r="T123" s="17"/>
      <c r="U123" s="17"/>
      <c r="V123" s="17"/>
      <c r="W123" s="17"/>
      <c r="X123" s="17"/>
      <c r="Y123" s="17"/>
      <c r="Z123" s="17"/>
      <c r="AA123" s="22">
        <v>391</v>
      </c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22">
        <v>2</v>
      </c>
      <c r="AO123" s="17"/>
      <c r="AP123" s="17"/>
      <c r="AQ123" s="17"/>
      <c r="AR123" s="17"/>
      <c r="AS123" s="17"/>
      <c r="AT123" s="17"/>
      <c r="AU123" s="17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t="s">
        <v>1887</v>
      </c>
      <c r="CD123" t="s">
        <v>1769</v>
      </c>
      <c r="CE123" t="s">
        <v>1561</v>
      </c>
      <c r="CF123" t="s">
        <v>16</v>
      </c>
      <c r="CG123" t="s">
        <v>1659</v>
      </c>
      <c r="CH123" t="s">
        <v>1839</v>
      </c>
      <c r="CL123">
        <v>8</v>
      </c>
      <c r="CM123" t="s">
        <v>125</v>
      </c>
      <c r="CN123">
        <v>2</v>
      </c>
      <c r="CO123" t="s">
        <v>1561</v>
      </c>
      <c r="CP123" t="s">
        <v>16</v>
      </c>
      <c r="CQ123" t="s">
        <v>2055</v>
      </c>
      <c r="CR123" t="s">
        <v>2056</v>
      </c>
      <c r="CS123" t="s">
        <v>121</v>
      </c>
    </row>
    <row r="124" spans="1:97" ht="16.350000000000001" customHeight="1" x14ac:dyDescent="0.25">
      <c r="A124" s="16"/>
      <c r="B124" s="16"/>
      <c r="C124" s="16"/>
      <c r="D124" s="16"/>
      <c r="E124" s="16"/>
      <c r="F124" s="16"/>
      <c r="G124" s="17"/>
      <c r="H124" s="17"/>
      <c r="I124" s="17"/>
      <c r="J124" s="17"/>
      <c r="K124" s="18" t="s">
        <v>408</v>
      </c>
      <c r="L124" s="18" t="s">
        <v>409</v>
      </c>
      <c r="M124" s="17"/>
      <c r="N124" s="17"/>
      <c r="O124" s="18" t="s">
        <v>408</v>
      </c>
      <c r="P124" s="17"/>
      <c r="Q124" s="17"/>
      <c r="R124" s="22">
        <v>393</v>
      </c>
      <c r="S124" s="17"/>
      <c r="T124" s="17"/>
      <c r="U124" s="17"/>
      <c r="V124" s="17"/>
      <c r="W124" s="17"/>
      <c r="X124" s="17"/>
      <c r="Y124" s="17"/>
      <c r="Z124" s="17"/>
      <c r="AA124" s="22">
        <v>393</v>
      </c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22">
        <v>20</v>
      </c>
      <c r="AO124" s="17"/>
      <c r="AP124" s="17"/>
      <c r="AQ124" s="17"/>
      <c r="AR124" s="17"/>
      <c r="AS124" s="17"/>
      <c r="AT124" s="17"/>
      <c r="AU124" s="17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t="s">
        <v>1887</v>
      </c>
      <c r="CD124" t="s">
        <v>1888</v>
      </c>
      <c r="CE124" t="s">
        <v>1561</v>
      </c>
      <c r="CF124" t="s">
        <v>1709</v>
      </c>
      <c r="CG124" t="s">
        <v>1659</v>
      </c>
      <c r="CH124" t="s">
        <v>1841</v>
      </c>
      <c r="CL124">
        <v>9</v>
      </c>
      <c r="CM124" t="s">
        <v>135</v>
      </c>
      <c r="CN124">
        <v>2</v>
      </c>
      <c r="CO124" t="s">
        <v>1561</v>
      </c>
      <c r="CP124" t="s">
        <v>1709</v>
      </c>
      <c r="CQ124" t="s">
        <v>2057</v>
      </c>
      <c r="CR124" t="s">
        <v>2058</v>
      </c>
      <c r="CS124" t="s">
        <v>121</v>
      </c>
    </row>
    <row r="125" spans="1:97" ht="16.350000000000001" customHeight="1" x14ac:dyDescent="0.25">
      <c r="A125" s="16"/>
      <c r="B125" s="16"/>
      <c r="C125" s="16"/>
      <c r="D125" s="16"/>
      <c r="E125" s="16"/>
      <c r="F125" s="16"/>
      <c r="G125" s="17"/>
      <c r="H125" s="17"/>
      <c r="I125" s="17"/>
      <c r="J125" s="17"/>
      <c r="K125" s="18" t="s">
        <v>410</v>
      </c>
      <c r="L125" s="18" t="s">
        <v>411</v>
      </c>
      <c r="M125" s="17"/>
      <c r="N125" s="17"/>
      <c r="O125" s="18" t="s">
        <v>410</v>
      </c>
      <c r="P125" s="17"/>
      <c r="Q125" s="17"/>
      <c r="R125" s="22">
        <v>395</v>
      </c>
      <c r="S125" s="17"/>
      <c r="T125" s="17"/>
      <c r="U125" s="17"/>
      <c r="V125" s="17"/>
      <c r="W125" s="17"/>
      <c r="X125" s="17"/>
      <c r="Y125" s="17"/>
      <c r="Z125" s="17"/>
      <c r="AA125" s="22">
        <v>395</v>
      </c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22">
        <v>200</v>
      </c>
      <c r="AO125" s="17"/>
      <c r="AP125" s="17"/>
      <c r="AQ125" s="17"/>
      <c r="AR125" s="17"/>
      <c r="AS125" s="17"/>
      <c r="AT125" s="17"/>
      <c r="AU125" s="17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t="s">
        <v>1887</v>
      </c>
      <c r="CD125" t="s">
        <v>1889</v>
      </c>
      <c r="CE125" t="s">
        <v>1561</v>
      </c>
      <c r="CF125" t="s">
        <v>1710</v>
      </c>
      <c r="CG125" t="s">
        <v>1659</v>
      </c>
      <c r="CH125" t="s">
        <v>1847</v>
      </c>
      <c r="CL125">
        <v>10</v>
      </c>
      <c r="CM125" t="s">
        <v>1661</v>
      </c>
      <c r="CN125">
        <v>2</v>
      </c>
      <c r="CO125" t="s">
        <v>1561</v>
      </c>
      <c r="CP125" t="s">
        <v>1710</v>
      </c>
      <c r="CQ125" t="s">
        <v>1989</v>
      </c>
      <c r="CR125" t="s">
        <v>2059</v>
      </c>
      <c r="CS125" t="s">
        <v>121</v>
      </c>
    </row>
    <row r="126" spans="1:97" ht="16.350000000000001" customHeight="1" x14ac:dyDescent="0.25">
      <c r="A126" s="16"/>
      <c r="B126" s="16"/>
      <c r="C126" s="16"/>
      <c r="D126" s="16"/>
      <c r="E126" s="16"/>
      <c r="F126" s="16"/>
      <c r="G126" s="17"/>
      <c r="H126" s="17"/>
      <c r="I126" s="17"/>
      <c r="J126" s="17"/>
      <c r="K126" s="18" t="s">
        <v>412</v>
      </c>
      <c r="L126" s="18" t="s">
        <v>413</v>
      </c>
      <c r="M126" s="17"/>
      <c r="N126" s="17"/>
      <c r="O126" s="18" t="s">
        <v>412</v>
      </c>
      <c r="P126" s="17"/>
      <c r="Q126" s="17"/>
      <c r="R126" s="22">
        <v>396</v>
      </c>
      <c r="S126" s="17"/>
      <c r="T126" s="17"/>
      <c r="U126" s="17"/>
      <c r="V126" s="17"/>
      <c r="W126" s="17"/>
      <c r="X126" s="17"/>
      <c r="Y126" s="17"/>
      <c r="Z126" s="17"/>
      <c r="AA126" s="22">
        <v>396</v>
      </c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22">
        <v>201</v>
      </c>
      <c r="AO126" s="17"/>
      <c r="AP126" s="17"/>
      <c r="AQ126" s="17"/>
      <c r="AR126" s="17"/>
      <c r="AS126" s="17"/>
      <c r="AT126" s="17"/>
      <c r="AU126" s="17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t="s">
        <v>1887</v>
      </c>
      <c r="CD126" t="s">
        <v>1770</v>
      </c>
      <c r="CE126" t="s">
        <v>1561</v>
      </c>
      <c r="CF126" t="s">
        <v>36</v>
      </c>
      <c r="CG126" t="s">
        <v>1659</v>
      </c>
      <c r="CH126" t="s">
        <v>1839</v>
      </c>
      <c r="CL126">
        <v>11</v>
      </c>
      <c r="CM126" t="s">
        <v>1662</v>
      </c>
      <c r="CN126">
        <v>2</v>
      </c>
      <c r="CO126" t="s">
        <v>1561</v>
      </c>
      <c r="CP126" t="s">
        <v>36</v>
      </c>
      <c r="CQ126" t="s">
        <v>2055</v>
      </c>
      <c r="CR126" t="s">
        <v>2060</v>
      </c>
      <c r="CS126" t="s">
        <v>121</v>
      </c>
    </row>
    <row r="127" spans="1:97" ht="16.350000000000001" customHeight="1" x14ac:dyDescent="0.25">
      <c r="A127" s="16"/>
      <c r="B127" s="16"/>
      <c r="C127" s="16"/>
      <c r="D127" s="16"/>
      <c r="E127" s="16"/>
      <c r="F127" s="16"/>
      <c r="G127" s="17"/>
      <c r="H127" s="17"/>
      <c r="I127" s="17"/>
      <c r="J127" s="17"/>
      <c r="K127" s="18" t="s">
        <v>414</v>
      </c>
      <c r="L127" s="18" t="s">
        <v>415</v>
      </c>
      <c r="M127" s="17"/>
      <c r="N127" s="17"/>
      <c r="O127" s="18" t="s">
        <v>414</v>
      </c>
      <c r="P127" s="17"/>
      <c r="Q127" s="17"/>
      <c r="R127" s="22">
        <v>397</v>
      </c>
      <c r="S127" s="17"/>
      <c r="T127" s="17"/>
      <c r="U127" s="17"/>
      <c r="V127" s="17"/>
      <c r="W127" s="17"/>
      <c r="X127" s="17"/>
      <c r="Y127" s="17"/>
      <c r="Z127" s="17"/>
      <c r="AA127" s="22">
        <v>397</v>
      </c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22">
        <v>202</v>
      </c>
      <c r="AO127" s="17"/>
      <c r="AP127" s="17"/>
      <c r="AQ127" s="17"/>
      <c r="AR127" s="17"/>
      <c r="AS127" s="17"/>
      <c r="AT127" s="17"/>
      <c r="AU127" s="17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t="s">
        <v>1887</v>
      </c>
      <c r="CD127" t="s">
        <v>1890</v>
      </c>
      <c r="CE127" t="s">
        <v>1561</v>
      </c>
      <c r="CF127" t="s">
        <v>1718</v>
      </c>
      <c r="CG127" t="s">
        <v>1659</v>
      </c>
      <c r="CH127" t="s">
        <v>1841</v>
      </c>
      <c r="CL127">
        <v>12</v>
      </c>
      <c r="CM127" t="s">
        <v>1663</v>
      </c>
      <c r="CN127">
        <v>2</v>
      </c>
      <c r="CO127" t="s">
        <v>1561</v>
      </c>
      <c r="CP127" t="s">
        <v>1718</v>
      </c>
      <c r="CQ127" t="s">
        <v>2057</v>
      </c>
      <c r="CR127" t="s">
        <v>2061</v>
      </c>
      <c r="CS127" t="s">
        <v>121</v>
      </c>
    </row>
    <row r="128" spans="1:97" ht="16.350000000000001" customHeight="1" x14ac:dyDescent="0.25">
      <c r="A128" s="16"/>
      <c r="B128" s="16"/>
      <c r="C128" s="16"/>
      <c r="D128" s="16"/>
      <c r="E128" s="16"/>
      <c r="F128" s="16"/>
      <c r="G128" s="17"/>
      <c r="H128" s="17"/>
      <c r="I128" s="17"/>
      <c r="J128" s="17"/>
      <c r="K128" s="18" t="s">
        <v>416</v>
      </c>
      <c r="L128" s="18" t="s">
        <v>417</v>
      </c>
      <c r="M128" s="17"/>
      <c r="N128" s="17"/>
      <c r="O128" s="18" t="s">
        <v>416</v>
      </c>
      <c r="P128" s="17"/>
      <c r="Q128" s="17"/>
      <c r="R128" s="22">
        <v>406</v>
      </c>
      <c r="S128" s="17"/>
      <c r="T128" s="17"/>
      <c r="U128" s="17"/>
      <c r="V128" s="17"/>
      <c r="W128" s="17"/>
      <c r="X128" s="17"/>
      <c r="Y128" s="17"/>
      <c r="Z128" s="17"/>
      <c r="AA128" s="22">
        <v>406</v>
      </c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22">
        <v>203</v>
      </c>
      <c r="AO128" s="17"/>
      <c r="AP128" s="17"/>
      <c r="AQ128" s="17"/>
      <c r="AR128" s="17"/>
      <c r="AS128" s="17"/>
      <c r="AT128" s="17"/>
      <c r="AU128" s="17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t="s">
        <v>1887</v>
      </c>
      <c r="CD128" t="s">
        <v>1891</v>
      </c>
      <c r="CE128" t="s">
        <v>1561</v>
      </c>
      <c r="CF128" t="s">
        <v>1719</v>
      </c>
      <c r="CG128" t="s">
        <v>1659</v>
      </c>
      <c r="CH128" t="s">
        <v>1847</v>
      </c>
      <c r="CL128">
        <v>13</v>
      </c>
      <c r="CM128" t="s">
        <v>145</v>
      </c>
      <c r="CN128">
        <v>2</v>
      </c>
      <c r="CO128" t="s">
        <v>1561</v>
      </c>
      <c r="CP128" t="s">
        <v>1719</v>
      </c>
      <c r="CQ128" t="s">
        <v>1989</v>
      </c>
      <c r="CR128" t="s">
        <v>2062</v>
      </c>
      <c r="CS128" t="s">
        <v>121</v>
      </c>
    </row>
    <row r="129" spans="1:97" ht="16.350000000000001" customHeight="1" x14ac:dyDescent="0.25">
      <c r="A129" s="16"/>
      <c r="B129" s="16"/>
      <c r="C129" s="16"/>
      <c r="D129" s="16"/>
      <c r="E129" s="16"/>
      <c r="F129" s="16"/>
      <c r="G129" s="17"/>
      <c r="H129" s="17"/>
      <c r="I129" s="17"/>
      <c r="J129" s="17"/>
      <c r="K129" s="18" t="s">
        <v>1630</v>
      </c>
      <c r="L129" s="18" t="s">
        <v>418</v>
      </c>
      <c r="M129" s="17"/>
      <c r="N129" s="17"/>
      <c r="O129" s="18" t="s">
        <v>1630</v>
      </c>
      <c r="P129" s="17"/>
      <c r="Q129" s="17"/>
      <c r="R129" s="22">
        <v>407</v>
      </c>
      <c r="S129" s="17"/>
      <c r="T129" s="17"/>
      <c r="U129" s="17"/>
      <c r="V129" s="17"/>
      <c r="W129" s="17"/>
      <c r="X129" s="17"/>
      <c r="Y129" s="17"/>
      <c r="Z129" s="17"/>
      <c r="AA129" s="22">
        <v>407</v>
      </c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22">
        <v>204</v>
      </c>
      <c r="AO129" s="17"/>
      <c r="AP129" s="17"/>
      <c r="AQ129" s="17"/>
      <c r="AR129" s="17"/>
      <c r="AS129" s="17"/>
      <c r="AT129" s="17"/>
      <c r="AU129" s="17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t="s">
        <v>1887</v>
      </c>
      <c r="CD129" t="s">
        <v>1771</v>
      </c>
      <c r="CE129" t="s">
        <v>1561</v>
      </c>
      <c r="CF129" t="s">
        <v>37</v>
      </c>
      <c r="CG129" t="s">
        <v>1659</v>
      </c>
      <c r="CH129" t="s">
        <v>1844</v>
      </c>
      <c r="CL129">
        <v>14</v>
      </c>
      <c r="CM129" t="s">
        <v>1664</v>
      </c>
      <c r="CN129">
        <v>2</v>
      </c>
      <c r="CO129" t="s">
        <v>1561</v>
      </c>
      <c r="CP129" t="s">
        <v>37</v>
      </c>
      <c r="CQ129" t="s">
        <v>1980</v>
      </c>
      <c r="CR129" t="s">
        <v>2063</v>
      </c>
      <c r="CS129" t="s">
        <v>121</v>
      </c>
    </row>
    <row r="130" spans="1:97" ht="16.350000000000001" customHeight="1" x14ac:dyDescent="0.25">
      <c r="A130" s="16"/>
      <c r="B130" s="16"/>
      <c r="C130" s="16"/>
      <c r="D130" s="16"/>
      <c r="E130" s="16"/>
      <c r="F130" s="16"/>
      <c r="G130" s="17"/>
      <c r="H130" s="17"/>
      <c r="I130" s="17"/>
      <c r="J130" s="17"/>
      <c r="K130" s="18" t="s">
        <v>419</v>
      </c>
      <c r="L130" s="18" t="s">
        <v>420</v>
      </c>
      <c r="M130" s="17"/>
      <c r="N130" s="17"/>
      <c r="O130" s="18" t="s">
        <v>419</v>
      </c>
      <c r="P130" s="17"/>
      <c r="Q130" s="17"/>
      <c r="R130" s="22">
        <v>408</v>
      </c>
      <c r="S130" s="17"/>
      <c r="T130" s="17"/>
      <c r="U130" s="17"/>
      <c r="V130" s="17"/>
      <c r="W130" s="17"/>
      <c r="X130" s="17"/>
      <c r="Y130" s="17"/>
      <c r="Z130" s="17"/>
      <c r="AA130" s="22">
        <v>408</v>
      </c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22">
        <v>205</v>
      </c>
      <c r="AO130" s="17"/>
      <c r="AP130" s="17"/>
      <c r="AQ130" s="17"/>
      <c r="AR130" s="17"/>
      <c r="AS130" s="17"/>
      <c r="AT130" s="17"/>
      <c r="AU130" s="17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t="s">
        <v>1887</v>
      </c>
      <c r="CD130" t="s">
        <v>1892</v>
      </c>
      <c r="CE130" t="s">
        <v>1561</v>
      </c>
      <c r="CF130" t="s">
        <v>1720</v>
      </c>
      <c r="CG130" t="s">
        <v>1659</v>
      </c>
      <c r="CH130" t="s">
        <v>1841</v>
      </c>
      <c r="CL130">
        <v>15</v>
      </c>
      <c r="CM130" t="s">
        <v>1665</v>
      </c>
      <c r="CN130">
        <v>2</v>
      </c>
      <c r="CO130" t="s">
        <v>1561</v>
      </c>
      <c r="CP130" t="s">
        <v>1720</v>
      </c>
      <c r="CQ130" t="s">
        <v>2057</v>
      </c>
      <c r="CR130" t="s">
        <v>2064</v>
      </c>
      <c r="CS130" t="s">
        <v>121</v>
      </c>
    </row>
    <row r="131" spans="1:97" ht="16.350000000000001" customHeight="1" x14ac:dyDescent="0.25">
      <c r="A131" s="16"/>
      <c r="B131" s="16"/>
      <c r="C131" s="16"/>
      <c r="D131" s="16"/>
      <c r="E131" s="16"/>
      <c r="F131" s="16"/>
      <c r="G131" s="17"/>
      <c r="H131" s="17"/>
      <c r="I131" s="17"/>
      <c r="J131" s="17"/>
      <c r="K131" s="18" t="s">
        <v>421</v>
      </c>
      <c r="L131" s="18" t="s">
        <v>422</v>
      </c>
      <c r="M131" s="17"/>
      <c r="N131" s="17"/>
      <c r="O131" s="18" t="s">
        <v>421</v>
      </c>
      <c r="P131" s="17"/>
      <c r="Q131" s="17"/>
      <c r="R131" s="22">
        <v>409</v>
      </c>
      <c r="S131" s="17"/>
      <c r="T131" s="17"/>
      <c r="U131" s="17"/>
      <c r="V131" s="17"/>
      <c r="W131" s="17"/>
      <c r="X131" s="17"/>
      <c r="Y131" s="17"/>
      <c r="Z131" s="17"/>
      <c r="AA131" s="22">
        <v>409</v>
      </c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22">
        <v>206</v>
      </c>
      <c r="AO131" s="17"/>
      <c r="AP131" s="17"/>
      <c r="AQ131" s="17"/>
      <c r="AR131" s="17"/>
      <c r="AS131" s="17"/>
      <c r="AT131" s="17"/>
      <c r="AU131" s="17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t="s">
        <v>1887</v>
      </c>
      <c r="CD131" t="s">
        <v>1893</v>
      </c>
      <c r="CE131" t="s">
        <v>1561</v>
      </c>
      <c r="CF131" t="s">
        <v>1721</v>
      </c>
      <c r="CG131" t="s">
        <v>1659</v>
      </c>
      <c r="CH131" t="s">
        <v>1847</v>
      </c>
      <c r="CL131">
        <v>16</v>
      </c>
      <c r="CM131" t="s">
        <v>1666</v>
      </c>
      <c r="CN131">
        <v>2</v>
      </c>
      <c r="CO131" t="s">
        <v>1561</v>
      </c>
      <c r="CP131" t="s">
        <v>1721</v>
      </c>
      <c r="CQ131" t="s">
        <v>1989</v>
      </c>
      <c r="CR131" t="s">
        <v>2065</v>
      </c>
      <c r="CS131" t="s">
        <v>121</v>
      </c>
    </row>
    <row r="132" spans="1:97" ht="16.350000000000001" customHeight="1" x14ac:dyDescent="0.25">
      <c r="A132" s="16"/>
      <c r="B132" s="16"/>
      <c r="C132" s="16"/>
      <c r="D132" s="16"/>
      <c r="E132" s="16"/>
      <c r="F132" s="16"/>
      <c r="G132" s="17"/>
      <c r="H132" s="17"/>
      <c r="I132" s="17"/>
      <c r="J132" s="17"/>
      <c r="K132" s="18" t="s">
        <v>423</v>
      </c>
      <c r="L132" s="18" t="s">
        <v>424</v>
      </c>
      <c r="M132" s="17"/>
      <c r="N132" s="17"/>
      <c r="O132" s="18" t="s">
        <v>423</v>
      </c>
      <c r="P132" s="17"/>
      <c r="Q132" s="17"/>
      <c r="R132" s="22">
        <v>410</v>
      </c>
      <c r="S132" s="17"/>
      <c r="T132" s="17"/>
      <c r="U132" s="17"/>
      <c r="V132" s="17"/>
      <c r="W132" s="17"/>
      <c r="X132" s="17"/>
      <c r="Y132" s="17"/>
      <c r="Z132" s="17"/>
      <c r="AA132" s="22">
        <v>410</v>
      </c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22">
        <v>207</v>
      </c>
      <c r="AO132" s="17"/>
      <c r="AP132" s="17"/>
      <c r="AQ132" s="17"/>
      <c r="AR132" s="17"/>
      <c r="AS132" s="17"/>
      <c r="AT132" s="17"/>
      <c r="AU132" s="17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t="s">
        <v>1887</v>
      </c>
      <c r="CD132" t="s">
        <v>1772</v>
      </c>
      <c r="CE132" t="s">
        <v>1561</v>
      </c>
      <c r="CF132" t="s">
        <v>38</v>
      </c>
      <c r="CG132" t="s">
        <v>1659</v>
      </c>
      <c r="CH132" t="s">
        <v>1844</v>
      </c>
      <c r="CL132">
        <v>17</v>
      </c>
      <c r="CM132" t="s">
        <v>1667</v>
      </c>
      <c r="CN132">
        <v>2</v>
      </c>
      <c r="CO132" t="s">
        <v>1561</v>
      </c>
      <c r="CP132" t="s">
        <v>38</v>
      </c>
      <c r="CQ132" t="s">
        <v>1980</v>
      </c>
      <c r="CR132" t="s">
        <v>2066</v>
      </c>
      <c r="CS132" t="s">
        <v>121</v>
      </c>
    </row>
    <row r="133" spans="1:97" ht="16.350000000000001" customHeight="1" x14ac:dyDescent="0.25">
      <c r="A133" s="16"/>
      <c r="B133" s="16"/>
      <c r="C133" s="16"/>
      <c r="D133" s="16"/>
      <c r="E133" s="16"/>
      <c r="F133" s="16"/>
      <c r="G133" s="17"/>
      <c r="H133" s="17"/>
      <c r="I133" s="17"/>
      <c r="J133" s="17"/>
      <c r="K133" s="18" t="s">
        <v>425</v>
      </c>
      <c r="L133" s="18" t="s">
        <v>426</v>
      </c>
      <c r="M133" s="17"/>
      <c r="N133" s="17"/>
      <c r="O133" s="18" t="s">
        <v>425</v>
      </c>
      <c r="P133" s="17"/>
      <c r="Q133" s="17"/>
      <c r="R133" s="22">
        <v>411</v>
      </c>
      <c r="S133" s="17"/>
      <c r="T133" s="17"/>
      <c r="U133" s="17"/>
      <c r="V133" s="17"/>
      <c r="W133" s="17"/>
      <c r="X133" s="17"/>
      <c r="Y133" s="17"/>
      <c r="Z133" s="17"/>
      <c r="AA133" s="22">
        <v>411</v>
      </c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22">
        <v>208</v>
      </c>
      <c r="AO133" s="17"/>
      <c r="AP133" s="17"/>
      <c r="AQ133" s="17"/>
      <c r="AR133" s="17"/>
      <c r="AS133" s="17"/>
      <c r="AT133" s="17"/>
      <c r="AU133" s="17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t="s">
        <v>1887</v>
      </c>
      <c r="CD133" t="s">
        <v>1894</v>
      </c>
      <c r="CE133" t="s">
        <v>1561</v>
      </c>
      <c r="CF133" t="s">
        <v>1722</v>
      </c>
      <c r="CG133" t="s">
        <v>1659</v>
      </c>
      <c r="CH133" t="s">
        <v>1841</v>
      </c>
      <c r="CL133">
        <v>18</v>
      </c>
      <c r="CM133" t="s">
        <v>1668</v>
      </c>
      <c r="CN133">
        <v>2</v>
      </c>
      <c r="CO133" t="s">
        <v>1561</v>
      </c>
      <c r="CP133" t="s">
        <v>1722</v>
      </c>
      <c r="CQ133" t="s">
        <v>2057</v>
      </c>
      <c r="CR133" t="s">
        <v>2067</v>
      </c>
      <c r="CS133" t="s">
        <v>121</v>
      </c>
    </row>
    <row r="134" spans="1:97" ht="16.350000000000001" customHeight="1" x14ac:dyDescent="0.25">
      <c r="A134" s="16"/>
      <c r="B134" s="16"/>
      <c r="C134" s="16"/>
      <c r="D134" s="16"/>
      <c r="E134" s="16"/>
      <c r="F134" s="16"/>
      <c r="G134" s="17"/>
      <c r="H134" s="17"/>
      <c r="I134" s="17"/>
      <c r="J134" s="17"/>
      <c r="K134" s="18" t="s">
        <v>1631</v>
      </c>
      <c r="L134" s="18" t="s">
        <v>427</v>
      </c>
      <c r="M134" s="17"/>
      <c r="N134" s="17"/>
      <c r="O134" s="18" t="s">
        <v>1631</v>
      </c>
      <c r="P134" s="17"/>
      <c r="Q134" s="17"/>
      <c r="R134" s="22">
        <v>412</v>
      </c>
      <c r="S134" s="17"/>
      <c r="T134" s="17"/>
      <c r="U134" s="17"/>
      <c r="V134" s="17"/>
      <c r="W134" s="17"/>
      <c r="X134" s="17"/>
      <c r="Y134" s="17"/>
      <c r="Z134" s="17"/>
      <c r="AA134" s="22">
        <v>412</v>
      </c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22">
        <v>209</v>
      </c>
      <c r="AO134" s="17"/>
      <c r="AP134" s="17"/>
      <c r="AQ134" s="17"/>
      <c r="AR134" s="17"/>
      <c r="AS134" s="17"/>
      <c r="AT134" s="17"/>
      <c r="AU134" s="17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t="s">
        <v>1887</v>
      </c>
      <c r="CD134" t="s">
        <v>1895</v>
      </c>
      <c r="CE134" t="s">
        <v>1561</v>
      </c>
      <c r="CF134" t="s">
        <v>1723</v>
      </c>
      <c r="CG134" t="s">
        <v>1659</v>
      </c>
      <c r="CH134" t="s">
        <v>1847</v>
      </c>
      <c r="CL134">
        <v>19</v>
      </c>
      <c r="CM134" t="s">
        <v>1669</v>
      </c>
      <c r="CN134">
        <v>2</v>
      </c>
      <c r="CO134" t="s">
        <v>1561</v>
      </c>
      <c r="CP134" t="s">
        <v>1723</v>
      </c>
      <c r="CQ134" t="s">
        <v>1989</v>
      </c>
      <c r="CR134" t="s">
        <v>2068</v>
      </c>
      <c r="CS134" t="s">
        <v>121</v>
      </c>
    </row>
    <row r="135" spans="1:97" ht="16.350000000000001" customHeight="1" x14ac:dyDescent="0.25">
      <c r="A135" s="16"/>
      <c r="B135" s="16"/>
      <c r="C135" s="16"/>
      <c r="D135" s="16"/>
      <c r="E135" s="16"/>
      <c r="F135" s="16"/>
      <c r="G135" s="17"/>
      <c r="H135" s="17"/>
      <c r="I135" s="17"/>
      <c r="J135" s="17"/>
      <c r="K135" s="18" t="s">
        <v>428</v>
      </c>
      <c r="L135" s="18" t="s">
        <v>429</v>
      </c>
      <c r="M135" s="17"/>
      <c r="N135" s="17"/>
      <c r="O135" s="18" t="s">
        <v>428</v>
      </c>
      <c r="P135" s="17"/>
      <c r="Q135" s="17"/>
      <c r="R135" s="22">
        <v>413</v>
      </c>
      <c r="S135" s="17"/>
      <c r="T135" s="17"/>
      <c r="U135" s="17"/>
      <c r="V135" s="17"/>
      <c r="W135" s="17"/>
      <c r="X135" s="17"/>
      <c r="Y135" s="17"/>
      <c r="Z135" s="17"/>
      <c r="AA135" s="22">
        <v>413</v>
      </c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22">
        <v>21</v>
      </c>
      <c r="AO135" s="17"/>
      <c r="AP135" s="17"/>
      <c r="AQ135" s="17"/>
      <c r="AR135" s="17"/>
      <c r="AS135" s="17"/>
      <c r="AT135" s="17"/>
      <c r="AU135" s="17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t="s">
        <v>1887</v>
      </c>
      <c r="CD135" t="s">
        <v>1773</v>
      </c>
      <c r="CE135" t="s">
        <v>1561</v>
      </c>
      <c r="CF135" t="s">
        <v>39</v>
      </c>
      <c r="CG135" t="s">
        <v>1659</v>
      </c>
      <c r="CH135" t="s">
        <v>1844</v>
      </c>
      <c r="CL135">
        <v>20</v>
      </c>
      <c r="CM135" t="s">
        <v>1670</v>
      </c>
      <c r="CN135">
        <v>2</v>
      </c>
      <c r="CO135" t="s">
        <v>1561</v>
      </c>
      <c r="CP135" t="s">
        <v>39</v>
      </c>
      <c r="CQ135" t="s">
        <v>1980</v>
      </c>
      <c r="CR135" t="s">
        <v>2069</v>
      </c>
      <c r="CS135" t="s">
        <v>121</v>
      </c>
    </row>
    <row r="136" spans="1:97" ht="16.350000000000001" customHeight="1" x14ac:dyDescent="0.25">
      <c r="A136" s="16"/>
      <c r="B136" s="16"/>
      <c r="C136" s="16"/>
      <c r="D136" s="16"/>
      <c r="E136" s="16"/>
      <c r="F136" s="16"/>
      <c r="G136" s="17"/>
      <c r="H136" s="17"/>
      <c r="I136" s="17"/>
      <c r="J136" s="17"/>
      <c r="K136" s="18" t="s">
        <v>1587</v>
      </c>
      <c r="L136" s="18" t="s">
        <v>430</v>
      </c>
      <c r="M136" s="17"/>
      <c r="N136" s="17"/>
      <c r="O136" s="18" t="s">
        <v>1587</v>
      </c>
      <c r="P136" s="17"/>
      <c r="Q136" s="17"/>
      <c r="R136" s="22">
        <v>414</v>
      </c>
      <c r="S136" s="17"/>
      <c r="T136" s="17"/>
      <c r="U136" s="17"/>
      <c r="V136" s="17"/>
      <c r="W136" s="17"/>
      <c r="X136" s="17"/>
      <c r="Y136" s="17"/>
      <c r="Z136" s="17"/>
      <c r="AA136" s="22">
        <v>414</v>
      </c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22">
        <v>210</v>
      </c>
      <c r="AO136" s="17"/>
      <c r="AP136" s="17"/>
      <c r="AQ136" s="17"/>
      <c r="AR136" s="17"/>
      <c r="AS136" s="17"/>
      <c r="AT136" s="17"/>
      <c r="AU136" s="17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t="s">
        <v>1887</v>
      </c>
      <c r="CD136" t="s">
        <v>1896</v>
      </c>
      <c r="CE136" t="s">
        <v>1561</v>
      </c>
      <c r="CF136" t="s">
        <v>1724</v>
      </c>
      <c r="CG136" t="s">
        <v>1659</v>
      </c>
      <c r="CH136" t="s">
        <v>1841</v>
      </c>
      <c r="CL136">
        <v>21</v>
      </c>
      <c r="CM136" t="s">
        <v>1671</v>
      </c>
      <c r="CN136">
        <v>2</v>
      </c>
      <c r="CO136" t="s">
        <v>1561</v>
      </c>
      <c r="CP136" t="s">
        <v>1724</v>
      </c>
      <c r="CQ136" t="s">
        <v>2057</v>
      </c>
      <c r="CR136" t="s">
        <v>2070</v>
      </c>
      <c r="CS136" t="s">
        <v>121</v>
      </c>
    </row>
    <row r="137" spans="1:97" ht="16.350000000000001" customHeight="1" x14ac:dyDescent="0.25">
      <c r="A137" s="16"/>
      <c r="B137" s="16"/>
      <c r="C137" s="16"/>
      <c r="D137" s="16"/>
      <c r="E137" s="16"/>
      <c r="F137" s="16"/>
      <c r="G137" s="17"/>
      <c r="H137" s="17"/>
      <c r="I137" s="17"/>
      <c r="J137" s="17"/>
      <c r="K137" s="18" t="s">
        <v>431</v>
      </c>
      <c r="L137" s="18" t="s">
        <v>432</v>
      </c>
      <c r="M137" s="17"/>
      <c r="N137" s="17"/>
      <c r="O137" s="18" t="s">
        <v>431</v>
      </c>
      <c r="P137" s="17"/>
      <c r="Q137" s="17"/>
      <c r="R137" s="22">
        <v>415</v>
      </c>
      <c r="S137" s="17"/>
      <c r="T137" s="17"/>
      <c r="U137" s="17"/>
      <c r="V137" s="17"/>
      <c r="W137" s="17"/>
      <c r="X137" s="17"/>
      <c r="Y137" s="17"/>
      <c r="Z137" s="17"/>
      <c r="AA137" s="22">
        <v>415</v>
      </c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22">
        <v>211</v>
      </c>
      <c r="AO137" s="17"/>
      <c r="AP137" s="17"/>
      <c r="AQ137" s="17"/>
      <c r="AR137" s="17"/>
      <c r="AS137" s="17"/>
      <c r="AT137" s="17"/>
      <c r="AU137" s="17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t="s">
        <v>1887</v>
      </c>
      <c r="CD137" t="s">
        <v>1897</v>
      </c>
      <c r="CE137" t="s">
        <v>1561</v>
      </c>
      <c r="CF137" t="s">
        <v>1725</v>
      </c>
      <c r="CG137" t="s">
        <v>1659</v>
      </c>
      <c r="CH137" t="s">
        <v>1847</v>
      </c>
      <c r="CL137">
        <v>22</v>
      </c>
      <c r="CM137" t="s">
        <v>1672</v>
      </c>
      <c r="CN137">
        <v>2</v>
      </c>
      <c r="CO137" t="s">
        <v>1561</v>
      </c>
      <c r="CP137" t="s">
        <v>1725</v>
      </c>
      <c r="CQ137" t="s">
        <v>1989</v>
      </c>
      <c r="CR137" t="s">
        <v>2071</v>
      </c>
      <c r="CS137" t="s">
        <v>121</v>
      </c>
    </row>
    <row r="138" spans="1:97" ht="16.350000000000001" customHeight="1" x14ac:dyDescent="0.25">
      <c r="A138" s="16"/>
      <c r="B138" s="16"/>
      <c r="C138" s="16"/>
      <c r="D138" s="16"/>
      <c r="E138" s="16"/>
      <c r="F138" s="16"/>
      <c r="G138" s="17"/>
      <c r="H138" s="17"/>
      <c r="I138" s="17"/>
      <c r="J138" s="17"/>
      <c r="K138" s="18" t="s">
        <v>433</v>
      </c>
      <c r="L138" s="18" t="s">
        <v>434</v>
      </c>
      <c r="M138" s="17"/>
      <c r="N138" s="17"/>
      <c r="O138" s="18" t="s">
        <v>433</v>
      </c>
      <c r="P138" s="17"/>
      <c r="Q138" s="17"/>
      <c r="R138" s="22">
        <v>416</v>
      </c>
      <c r="S138" s="17"/>
      <c r="T138" s="17"/>
      <c r="U138" s="17"/>
      <c r="V138" s="17"/>
      <c r="W138" s="17"/>
      <c r="X138" s="17"/>
      <c r="Y138" s="17"/>
      <c r="Z138" s="17"/>
      <c r="AA138" s="22">
        <v>416</v>
      </c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22">
        <v>212</v>
      </c>
      <c r="AO138" s="17"/>
      <c r="AP138" s="17"/>
      <c r="AQ138" s="17"/>
      <c r="AR138" s="17"/>
      <c r="AS138" s="17"/>
      <c r="AT138" s="17"/>
      <c r="AU138" s="17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t="s">
        <v>1887</v>
      </c>
      <c r="CD138" t="s">
        <v>1774</v>
      </c>
      <c r="CE138" t="s">
        <v>1561</v>
      </c>
      <c r="CF138" t="s">
        <v>35</v>
      </c>
      <c r="CG138" t="s">
        <v>1659</v>
      </c>
      <c r="CH138" t="s">
        <v>1844</v>
      </c>
      <c r="CL138">
        <v>23</v>
      </c>
      <c r="CM138" t="s">
        <v>1673</v>
      </c>
      <c r="CN138">
        <v>2</v>
      </c>
      <c r="CO138" t="s">
        <v>1561</v>
      </c>
      <c r="CP138" t="s">
        <v>35</v>
      </c>
      <c r="CQ138" t="s">
        <v>1980</v>
      </c>
      <c r="CR138" t="s">
        <v>2072</v>
      </c>
      <c r="CS138" t="s">
        <v>121</v>
      </c>
    </row>
    <row r="139" spans="1:97" ht="16.350000000000001" customHeight="1" x14ac:dyDescent="0.25">
      <c r="A139" s="16"/>
      <c r="B139" s="16"/>
      <c r="C139" s="16"/>
      <c r="D139" s="16"/>
      <c r="E139" s="16"/>
      <c r="F139" s="16"/>
      <c r="G139" s="17"/>
      <c r="H139" s="17"/>
      <c r="I139" s="17"/>
      <c r="J139" s="17"/>
      <c r="K139" s="18" t="s">
        <v>435</v>
      </c>
      <c r="L139" s="18" t="s">
        <v>436</v>
      </c>
      <c r="M139" s="17"/>
      <c r="N139" s="17"/>
      <c r="O139" s="18" t="s">
        <v>435</v>
      </c>
      <c r="P139" s="17"/>
      <c r="Q139" s="17"/>
      <c r="R139" s="22">
        <v>417</v>
      </c>
      <c r="S139" s="17"/>
      <c r="T139" s="17"/>
      <c r="U139" s="17"/>
      <c r="V139" s="17"/>
      <c r="W139" s="17"/>
      <c r="X139" s="17"/>
      <c r="Y139" s="17"/>
      <c r="Z139" s="17"/>
      <c r="AA139" s="22">
        <v>417</v>
      </c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22">
        <v>213</v>
      </c>
      <c r="AO139" s="17"/>
      <c r="AP139" s="17"/>
      <c r="AQ139" s="17"/>
      <c r="AR139" s="17"/>
      <c r="AS139" s="17"/>
      <c r="AT139" s="17"/>
      <c r="AU139" s="17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t="s">
        <v>1887</v>
      </c>
      <c r="CD139" t="s">
        <v>1820</v>
      </c>
      <c r="CE139" t="s">
        <v>1561</v>
      </c>
      <c r="CF139" t="s">
        <v>1730</v>
      </c>
      <c r="CG139" t="s">
        <v>1659</v>
      </c>
      <c r="CH139" t="s">
        <v>1841</v>
      </c>
      <c r="CL139">
        <v>24</v>
      </c>
      <c r="CM139" t="s">
        <v>1674</v>
      </c>
      <c r="CN139">
        <v>2</v>
      </c>
      <c r="CO139" t="s">
        <v>1561</v>
      </c>
      <c r="CP139" t="s">
        <v>1730</v>
      </c>
      <c r="CQ139" t="s">
        <v>2057</v>
      </c>
      <c r="CR139" t="s">
        <v>2073</v>
      </c>
      <c r="CS139" t="s">
        <v>121</v>
      </c>
    </row>
    <row r="140" spans="1:97" ht="16.350000000000001" customHeight="1" x14ac:dyDescent="0.25">
      <c r="A140" s="16"/>
      <c r="B140" s="16"/>
      <c r="C140" s="16"/>
      <c r="D140" s="16"/>
      <c r="E140" s="16"/>
      <c r="F140" s="16"/>
      <c r="G140" s="17"/>
      <c r="H140" s="17"/>
      <c r="I140" s="17"/>
      <c r="J140" s="17"/>
      <c r="K140" s="18" t="s">
        <v>437</v>
      </c>
      <c r="L140" s="18" t="s">
        <v>438</v>
      </c>
      <c r="M140" s="17"/>
      <c r="N140" s="17"/>
      <c r="O140" s="18" t="s">
        <v>437</v>
      </c>
      <c r="P140" s="17"/>
      <c r="Q140" s="17"/>
      <c r="R140" s="22">
        <v>418</v>
      </c>
      <c r="S140" s="17"/>
      <c r="T140" s="17"/>
      <c r="U140" s="17"/>
      <c r="V140" s="17"/>
      <c r="W140" s="17"/>
      <c r="X140" s="17"/>
      <c r="Y140" s="17"/>
      <c r="Z140" s="17"/>
      <c r="AA140" s="22">
        <v>418</v>
      </c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22">
        <v>214</v>
      </c>
      <c r="AO140" s="17"/>
      <c r="AP140" s="17"/>
      <c r="AQ140" s="17"/>
      <c r="AR140" s="17"/>
      <c r="AS140" s="17"/>
      <c r="AT140" s="17"/>
      <c r="AU140" s="17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t="s">
        <v>1887</v>
      </c>
      <c r="CD140" t="s">
        <v>1898</v>
      </c>
      <c r="CE140" t="s">
        <v>1561</v>
      </c>
      <c r="CF140" t="s">
        <v>1821</v>
      </c>
      <c r="CG140" t="s">
        <v>1659</v>
      </c>
      <c r="CH140" t="s">
        <v>1847</v>
      </c>
      <c r="CL140">
        <v>25</v>
      </c>
      <c r="CM140" t="s">
        <v>1675</v>
      </c>
      <c r="CN140">
        <v>2</v>
      </c>
      <c r="CO140" t="s">
        <v>1561</v>
      </c>
      <c r="CP140" t="s">
        <v>1821</v>
      </c>
      <c r="CQ140" t="s">
        <v>1989</v>
      </c>
      <c r="CR140" t="s">
        <v>2074</v>
      </c>
      <c r="CS140" t="s">
        <v>121</v>
      </c>
    </row>
    <row r="141" spans="1:97" ht="16.350000000000001" customHeight="1" x14ac:dyDescent="0.25">
      <c r="A141" s="16"/>
      <c r="B141" s="16"/>
      <c r="C141" s="16"/>
      <c r="D141" s="16"/>
      <c r="E141" s="16"/>
      <c r="F141" s="16"/>
      <c r="G141" s="17"/>
      <c r="H141" s="17"/>
      <c r="I141" s="17"/>
      <c r="J141" s="17"/>
      <c r="K141" s="18" t="s">
        <v>439</v>
      </c>
      <c r="L141" s="18" t="s">
        <v>440</v>
      </c>
      <c r="M141" s="17"/>
      <c r="N141" s="17"/>
      <c r="O141" s="18" t="s">
        <v>439</v>
      </c>
      <c r="P141" s="17"/>
      <c r="Q141" s="17"/>
      <c r="R141" s="22">
        <v>419</v>
      </c>
      <c r="S141" s="17"/>
      <c r="T141" s="17"/>
      <c r="U141" s="17"/>
      <c r="V141" s="17"/>
      <c r="W141" s="17"/>
      <c r="X141" s="17"/>
      <c r="Y141" s="17"/>
      <c r="Z141" s="17"/>
      <c r="AA141" s="22">
        <v>419</v>
      </c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22">
        <v>215</v>
      </c>
      <c r="AO141" s="17"/>
      <c r="AP141" s="17"/>
      <c r="AQ141" s="17"/>
      <c r="AR141" s="17"/>
      <c r="AS141" s="17"/>
      <c r="AT141" s="17"/>
      <c r="AU141" s="17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t="s">
        <v>1887</v>
      </c>
      <c r="CD141" t="s">
        <v>98</v>
      </c>
      <c r="CE141" t="s">
        <v>1561</v>
      </c>
      <c r="CF141" t="s">
        <v>40</v>
      </c>
      <c r="CG141" t="s">
        <v>1659</v>
      </c>
      <c r="CH141" t="s">
        <v>1830</v>
      </c>
      <c r="CL141">
        <v>26</v>
      </c>
      <c r="CM141" t="s">
        <v>1687</v>
      </c>
      <c r="CN141">
        <v>2</v>
      </c>
      <c r="CO141" t="s">
        <v>1561</v>
      </c>
      <c r="CP141" t="s">
        <v>40</v>
      </c>
      <c r="CQ141" t="s">
        <v>2011</v>
      </c>
      <c r="CR141" t="s">
        <v>2075</v>
      </c>
      <c r="CS141" t="s">
        <v>121</v>
      </c>
    </row>
    <row r="142" spans="1:97" ht="16.350000000000001" customHeight="1" x14ac:dyDescent="0.25">
      <c r="A142" s="16"/>
      <c r="B142" s="16"/>
      <c r="C142" s="16"/>
      <c r="D142" s="16"/>
      <c r="E142" s="16"/>
      <c r="F142" s="16"/>
      <c r="G142" s="17"/>
      <c r="H142" s="17"/>
      <c r="I142" s="17"/>
      <c r="J142" s="17"/>
      <c r="K142" s="18" t="s">
        <v>441</v>
      </c>
      <c r="L142" s="18" t="s">
        <v>442</v>
      </c>
      <c r="M142" s="17"/>
      <c r="N142" s="17"/>
      <c r="O142" s="18" t="s">
        <v>441</v>
      </c>
      <c r="P142" s="17"/>
      <c r="Q142" s="17"/>
      <c r="R142" s="22">
        <v>420</v>
      </c>
      <c r="S142" s="17"/>
      <c r="T142" s="17"/>
      <c r="U142" s="17"/>
      <c r="V142" s="17"/>
      <c r="W142" s="17"/>
      <c r="X142" s="17"/>
      <c r="Y142" s="17"/>
      <c r="Z142" s="17"/>
      <c r="AA142" s="22">
        <v>420</v>
      </c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22">
        <v>216</v>
      </c>
      <c r="AO142" s="17"/>
      <c r="AP142" s="17"/>
      <c r="AQ142" s="17"/>
      <c r="AR142" s="17"/>
      <c r="AS142" s="17"/>
      <c r="AT142" s="17"/>
      <c r="AU142" s="17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t="s">
        <v>1887</v>
      </c>
      <c r="CD142" t="s">
        <v>1775</v>
      </c>
      <c r="CE142" t="s">
        <v>1561</v>
      </c>
      <c r="CF142" t="s">
        <v>41</v>
      </c>
      <c r="CG142" t="s">
        <v>1659</v>
      </c>
      <c r="CH142" t="s">
        <v>1844</v>
      </c>
      <c r="CL142">
        <v>27</v>
      </c>
      <c r="CM142" t="s">
        <v>1688</v>
      </c>
      <c r="CN142">
        <v>2</v>
      </c>
      <c r="CO142" t="s">
        <v>1561</v>
      </c>
      <c r="CP142" t="s">
        <v>41</v>
      </c>
      <c r="CQ142" t="s">
        <v>1980</v>
      </c>
      <c r="CR142" t="s">
        <v>2076</v>
      </c>
      <c r="CS142" t="s">
        <v>121</v>
      </c>
    </row>
    <row r="143" spans="1:97" ht="16.350000000000001" customHeight="1" x14ac:dyDescent="0.25">
      <c r="A143" s="16"/>
      <c r="B143" s="16"/>
      <c r="C143" s="16"/>
      <c r="D143" s="16"/>
      <c r="E143" s="16"/>
      <c r="F143" s="16"/>
      <c r="G143" s="17"/>
      <c r="H143" s="17"/>
      <c r="I143" s="17"/>
      <c r="J143" s="17"/>
      <c r="K143" s="18" t="s">
        <v>443</v>
      </c>
      <c r="L143" s="18" t="s">
        <v>444</v>
      </c>
      <c r="M143" s="17"/>
      <c r="N143" s="17"/>
      <c r="O143" s="18" t="s">
        <v>443</v>
      </c>
      <c r="P143" s="17"/>
      <c r="Q143" s="17"/>
      <c r="R143" s="22">
        <v>421</v>
      </c>
      <c r="S143" s="17"/>
      <c r="T143" s="17"/>
      <c r="U143" s="17"/>
      <c r="V143" s="17"/>
      <c r="W143" s="17"/>
      <c r="X143" s="17"/>
      <c r="Y143" s="17"/>
      <c r="Z143" s="17"/>
      <c r="AA143" s="22">
        <v>421</v>
      </c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22">
        <v>217</v>
      </c>
      <c r="AO143" s="17"/>
      <c r="AP143" s="17"/>
      <c r="AQ143" s="17"/>
      <c r="AR143" s="17"/>
      <c r="AS143" s="17"/>
      <c r="AT143" s="17"/>
      <c r="AU143" s="17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t="s">
        <v>1887</v>
      </c>
      <c r="CD143" t="s">
        <v>1899</v>
      </c>
      <c r="CE143" t="s">
        <v>1561</v>
      </c>
      <c r="CF143" t="s">
        <v>1726</v>
      </c>
      <c r="CG143" t="s">
        <v>1659</v>
      </c>
      <c r="CH143" t="s">
        <v>1841</v>
      </c>
      <c r="CL143">
        <v>28</v>
      </c>
      <c r="CM143" t="s">
        <v>1689</v>
      </c>
      <c r="CN143">
        <v>2</v>
      </c>
      <c r="CO143" t="s">
        <v>1561</v>
      </c>
      <c r="CP143" t="s">
        <v>1726</v>
      </c>
      <c r="CQ143" t="s">
        <v>2057</v>
      </c>
      <c r="CR143" t="s">
        <v>2077</v>
      </c>
      <c r="CS143" t="s">
        <v>121</v>
      </c>
    </row>
    <row r="144" spans="1:97" ht="16.350000000000001" customHeight="1" x14ac:dyDescent="0.25">
      <c r="A144" s="16"/>
      <c r="B144" s="16"/>
      <c r="C144" s="16"/>
      <c r="D144" s="16"/>
      <c r="E144" s="16"/>
      <c r="F144" s="16"/>
      <c r="G144" s="17"/>
      <c r="H144" s="17"/>
      <c r="I144" s="17"/>
      <c r="J144" s="17"/>
      <c r="K144" s="18" t="s">
        <v>445</v>
      </c>
      <c r="L144" s="18" t="s">
        <v>446</v>
      </c>
      <c r="M144" s="17"/>
      <c r="N144" s="17"/>
      <c r="O144" s="18" t="s">
        <v>445</v>
      </c>
      <c r="P144" s="17"/>
      <c r="Q144" s="17"/>
      <c r="R144" s="22">
        <v>422</v>
      </c>
      <c r="S144" s="17"/>
      <c r="T144" s="17"/>
      <c r="U144" s="17"/>
      <c r="V144" s="17"/>
      <c r="W144" s="17"/>
      <c r="X144" s="17"/>
      <c r="Y144" s="17"/>
      <c r="Z144" s="17"/>
      <c r="AA144" s="22">
        <v>422</v>
      </c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22">
        <v>218</v>
      </c>
      <c r="AO144" s="17"/>
      <c r="AP144" s="17"/>
      <c r="AQ144" s="17"/>
      <c r="AR144" s="17"/>
      <c r="AS144" s="17"/>
      <c r="AT144" s="17"/>
      <c r="AU144" s="17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t="s">
        <v>1887</v>
      </c>
      <c r="CD144" t="s">
        <v>1900</v>
      </c>
      <c r="CE144" t="s">
        <v>1561</v>
      </c>
      <c r="CF144" t="s">
        <v>1727</v>
      </c>
      <c r="CG144" t="s">
        <v>1659</v>
      </c>
      <c r="CH144" t="s">
        <v>1847</v>
      </c>
      <c r="CL144">
        <v>29</v>
      </c>
      <c r="CM144" t="s">
        <v>1690</v>
      </c>
      <c r="CN144">
        <v>2</v>
      </c>
      <c r="CO144" t="s">
        <v>1561</v>
      </c>
      <c r="CP144" t="s">
        <v>1727</v>
      </c>
      <c r="CQ144" t="s">
        <v>1989</v>
      </c>
      <c r="CR144" t="s">
        <v>2078</v>
      </c>
      <c r="CS144" t="s">
        <v>121</v>
      </c>
    </row>
    <row r="145" spans="1:97" ht="16.350000000000001" customHeight="1" x14ac:dyDescent="0.25">
      <c r="A145" s="16"/>
      <c r="B145" s="16"/>
      <c r="C145" s="16"/>
      <c r="D145" s="16"/>
      <c r="E145" s="16"/>
      <c r="F145" s="16"/>
      <c r="G145" s="17"/>
      <c r="H145" s="17"/>
      <c r="I145" s="17"/>
      <c r="J145" s="17"/>
      <c r="K145" s="18" t="s">
        <v>447</v>
      </c>
      <c r="L145" s="18" t="s">
        <v>448</v>
      </c>
      <c r="M145" s="17"/>
      <c r="N145" s="17"/>
      <c r="O145" s="18" t="s">
        <v>447</v>
      </c>
      <c r="P145" s="17"/>
      <c r="Q145" s="17"/>
      <c r="R145" s="22">
        <v>423</v>
      </c>
      <c r="S145" s="17"/>
      <c r="T145" s="17"/>
      <c r="U145" s="17"/>
      <c r="V145" s="17"/>
      <c r="W145" s="17"/>
      <c r="X145" s="17"/>
      <c r="Y145" s="17"/>
      <c r="Z145" s="17"/>
      <c r="AA145" s="22">
        <v>423</v>
      </c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22">
        <v>219</v>
      </c>
      <c r="AO145" s="17"/>
      <c r="AP145" s="17"/>
      <c r="AQ145" s="17"/>
      <c r="AR145" s="17"/>
      <c r="AS145" s="17"/>
      <c r="AT145" s="17"/>
      <c r="AU145" s="17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t="s">
        <v>1887</v>
      </c>
      <c r="CD145" t="s">
        <v>1776</v>
      </c>
      <c r="CE145" t="s">
        <v>1561</v>
      </c>
      <c r="CF145" t="s">
        <v>42</v>
      </c>
      <c r="CG145" t="s">
        <v>1659</v>
      </c>
      <c r="CH145" t="s">
        <v>156</v>
      </c>
      <c r="CL145">
        <v>30</v>
      </c>
      <c r="CM145" t="s">
        <v>1691</v>
      </c>
      <c r="CN145">
        <v>2</v>
      </c>
      <c r="CO145" t="s">
        <v>1561</v>
      </c>
      <c r="CP145" t="s">
        <v>42</v>
      </c>
      <c r="CQ145" t="s">
        <v>2026</v>
      </c>
      <c r="CR145" t="s">
        <v>2079</v>
      </c>
      <c r="CS145" t="s">
        <v>121</v>
      </c>
    </row>
    <row r="146" spans="1:97" ht="16.350000000000001" customHeight="1" x14ac:dyDescent="0.25">
      <c r="A146" s="16"/>
      <c r="B146" s="16"/>
      <c r="C146" s="16"/>
      <c r="D146" s="16"/>
      <c r="E146" s="16"/>
      <c r="F146" s="16"/>
      <c r="G146" s="17"/>
      <c r="H146" s="17"/>
      <c r="I146" s="17"/>
      <c r="J146" s="17"/>
      <c r="K146" s="18" t="s">
        <v>449</v>
      </c>
      <c r="L146" s="18" t="s">
        <v>450</v>
      </c>
      <c r="M146" s="17"/>
      <c r="N146" s="17"/>
      <c r="O146" s="18" t="s">
        <v>449</v>
      </c>
      <c r="P146" s="17"/>
      <c r="Q146" s="17"/>
      <c r="R146" s="22">
        <v>706</v>
      </c>
      <c r="S146" s="17"/>
      <c r="T146" s="17"/>
      <c r="U146" s="17"/>
      <c r="V146" s="17"/>
      <c r="W146" s="17"/>
      <c r="X146" s="17"/>
      <c r="Y146" s="17"/>
      <c r="Z146" s="17"/>
      <c r="AA146" s="22">
        <v>706</v>
      </c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22">
        <v>22</v>
      </c>
      <c r="AO146" s="17"/>
      <c r="AP146" s="17"/>
      <c r="AQ146" s="17"/>
      <c r="AR146" s="17"/>
      <c r="AS146" s="17"/>
      <c r="AT146" s="17"/>
      <c r="AU146" s="17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t="s">
        <v>1887</v>
      </c>
      <c r="CD146" t="s">
        <v>1901</v>
      </c>
      <c r="CE146" t="s">
        <v>1561</v>
      </c>
      <c r="CF146" t="s">
        <v>1717</v>
      </c>
      <c r="CG146" t="s">
        <v>1659</v>
      </c>
      <c r="CH146" t="s">
        <v>1849</v>
      </c>
      <c r="CL146">
        <v>31</v>
      </c>
      <c r="CM146" t="s">
        <v>1692</v>
      </c>
      <c r="CN146">
        <v>2</v>
      </c>
      <c r="CO146" t="s">
        <v>1561</v>
      </c>
      <c r="CP146" t="s">
        <v>1717</v>
      </c>
      <c r="CQ146" t="s">
        <v>2008</v>
      </c>
      <c r="CR146" t="s">
        <v>2009</v>
      </c>
      <c r="CS146" t="s">
        <v>121</v>
      </c>
    </row>
    <row r="147" spans="1:97" ht="16.350000000000001" customHeight="1" x14ac:dyDescent="0.25">
      <c r="A147" s="16"/>
      <c r="B147" s="16"/>
      <c r="C147" s="16"/>
      <c r="D147" s="16"/>
      <c r="E147" s="16"/>
      <c r="F147" s="16"/>
      <c r="G147" s="17"/>
      <c r="H147" s="17"/>
      <c r="I147" s="17"/>
      <c r="J147" s="17"/>
      <c r="K147" s="18" t="s">
        <v>452</v>
      </c>
      <c r="L147" s="18" t="s">
        <v>453</v>
      </c>
      <c r="M147" s="17"/>
      <c r="N147" s="17"/>
      <c r="O147" s="18" t="s">
        <v>452</v>
      </c>
      <c r="P147" s="17"/>
      <c r="Q147" s="17"/>
      <c r="R147" s="22">
        <v>709</v>
      </c>
      <c r="S147" s="17"/>
      <c r="T147" s="17"/>
      <c r="U147" s="17"/>
      <c r="V147" s="17"/>
      <c r="W147" s="17"/>
      <c r="X147" s="17"/>
      <c r="Y147" s="17"/>
      <c r="Z147" s="17"/>
      <c r="AA147" s="22">
        <v>709</v>
      </c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22">
        <v>220</v>
      </c>
      <c r="AO147" s="17"/>
      <c r="AP147" s="17"/>
      <c r="AQ147" s="17"/>
      <c r="AR147" s="17"/>
      <c r="AS147" s="17"/>
      <c r="AT147" s="17"/>
      <c r="AU147" s="17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t="s">
        <v>1887</v>
      </c>
      <c r="CD147" t="s">
        <v>1777</v>
      </c>
      <c r="CE147" t="s">
        <v>1561</v>
      </c>
      <c r="CF147" t="s">
        <v>1552</v>
      </c>
      <c r="CG147" t="s">
        <v>1664</v>
      </c>
      <c r="CH147" t="s">
        <v>1835</v>
      </c>
      <c r="CL147">
        <v>32</v>
      </c>
      <c r="CM147" t="s">
        <v>1693</v>
      </c>
      <c r="CN147">
        <v>2</v>
      </c>
      <c r="CO147" t="s">
        <v>1561</v>
      </c>
      <c r="CP147" t="s">
        <v>1552</v>
      </c>
      <c r="CQ147" t="s">
        <v>1962</v>
      </c>
      <c r="CR147" t="s">
        <v>2010</v>
      </c>
      <c r="CS147" t="s">
        <v>121</v>
      </c>
    </row>
    <row r="148" spans="1:97" ht="16.350000000000001" customHeight="1" x14ac:dyDescent="0.25">
      <c r="A148" s="16"/>
      <c r="B148" s="16"/>
      <c r="C148" s="16"/>
      <c r="D148" s="16"/>
      <c r="E148" s="16"/>
      <c r="F148" s="16"/>
      <c r="G148" s="17"/>
      <c r="H148" s="17"/>
      <c r="I148" s="17"/>
      <c r="J148" s="17"/>
      <c r="K148" s="18" t="s">
        <v>454</v>
      </c>
      <c r="L148" s="18" t="s">
        <v>455</v>
      </c>
      <c r="M148" s="17"/>
      <c r="N148" s="17"/>
      <c r="O148" s="18" t="s">
        <v>454</v>
      </c>
      <c r="P148" s="17"/>
      <c r="Q148" s="17"/>
      <c r="R148" s="22">
        <v>711</v>
      </c>
      <c r="S148" s="17"/>
      <c r="T148" s="17"/>
      <c r="U148" s="17"/>
      <c r="V148" s="17"/>
      <c r="W148" s="17"/>
      <c r="X148" s="17"/>
      <c r="Y148" s="17"/>
      <c r="Z148" s="17"/>
      <c r="AA148" s="22">
        <v>711</v>
      </c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22">
        <v>221</v>
      </c>
      <c r="AO148" s="17"/>
      <c r="AP148" s="17"/>
      <c r="AQ148" s="17"/>
      <c r="AR148" s="17"/>
      <c r="AS148" s="17"/>
      <c r="AT148" s="17"/>
      <c r="AU148" s="17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t="s">
        <v>1902</v>
      </c>
      <c r="CE148" t="s">
        <v>1562</v>
      </c>
      <c r="CF148" t="s">
        <v>1572</v>
      </c>
      <c r="CL148">
        <v>1</v>
      </c>
      <c r="CM148" t="s">
        <v>1936</v>
      </c>
      <c r="CN148">
        <v>2</v>
      </c>
      <c r="CO148" t="s">
        <v>1562</v>
      </c>
      <c r="CP148" t="s">
        <v>1572</v>
      </c>
      <c r="CQ148" t="s">
        <v>121</v>
      </c>
      <c r="CR148" t="s">
        <v>121</v>
      </c>
      <c r="CS148" t="s">
        <v>121</v>
      </c>
    </row>
    <row r="149" spans="1:97" ht="16.350000000000001" customHeight="1" x14ac:dyDescent="0.25">
      <c r="A149" s="16"/>
      <c r="B149" s="16"/>
      <c r="C149" s="16"/>
      <c r="D149" s="16"/>
      <c r="E149" s="16"/>
      <c r="F149" s="16"/>
      <c r="G149" s="17"/>
      <c r="H149" s="17"/>
      <c r="I149" s="17"/>
      <c r="J149" s="17"/>
      <c r="K149" s="18" t="s">
        <v>456</v>
      </c>
      <c r="L149" s="18" t="s">
        <v>457</v>
      </c>
      <c r="M149" s="17"/>
      <c r="N149" s="17"/>
      <c r="O149" s="18" t="s">
        <v>456</v>
      </c>
      <c r="P149" s="17"/>
      <c r="Q149" s="17"/>
      <c r="R149" s="22">
        <v>712</v>
      </c>
      <c r="S149" s="17"/>
      <c r="T149" s="17"/>
      <c r="U149" s="17"/>
      <c r="V149" s="17"/>
      <c r="W149" s="17"/>
      <c r="X149" s="17"/>
      <c r="Y149" s="17"/>
      <c r="Z149" s="17"/>
      <c r="AA149" s="22">
        <v>712</v>
      </c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22">
        <v>222</v>
      </c>
      <c r="AO149" s="17"/>
      <c r="AP149" s="17"/>
      <c r="AQ149" s="17"/>
      <c r="AR149" s="17"/>
      <c r="AS149" s="17"/>
      <c r="AT149" s="17"/>
      <c r="AU149" s="17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t="s">
        <v>1902</v>
      </c>
      <c r="CE149" t="s">
        <v>1562</v>
      </c>
      <c r="CF149" t="s">
        <v>1571</v>
      </c>
      <c r="CL149">
        <v>2</v>
      </c>
      <c r="CM149" t="s">
        <v>1939</v>
      </c>
      <c r="CN149">
        <v>2</v>
      </c>
      <c r="CO149" t="s">
        <v>1562</v>
      </c>
      <c r="CP149" t="s">
        <v>1571</v>
      </c>
      <c r="CQ149" t="s">
        <v>1964</v>
      </c>
      <c r="CR149" t="s">
        <v>1965</v>
      </c>
      <c r="CS149" t="s">
        <v>121</v>
      </c>
    </row>
    <row r="150" spans="1:97" ht="16.350000000000001" customHeight="1" x14ac:dyDescent="0.25">
      <c r="A150" s="16"/>
      <c r="B150" s="16"/>
      <c r="C150" s="16"/>
      <c r="D150" s="16"/>
      <c r="E150" s="16"/>
      <c r="F150" s="16"/>
      <c r="G150" s="17"/>
      <c r="H150" s="17"/>
      <c r="I150" s="17"/>
      <c r="J150" s="17"/>
      <c r="K150" s="18" t="s">
        <v>458</v>
      </c>
      <c r="L150" s="18" t="s">
        <v>459</v>
      </c>
      <c r="M150" s="17"/>
      <c r="N150" s="17"/>
      <c r="O150" s="18" t="s">
        <v>458</v>
      </c>
      <c r="P150" s="17"/>
      <c r="Q150" s="17"/>
      <c r="R150" s="22">
        <v>714</v>
      </c>
      <c r="S150" s="17"/>
      <c r="T150" s="17"/>
      <c r="U150" s="17"/>
      <c r="V150" s="17"/>
      <c r="W150" s="17"/>
      <c r="X150" s="17"/>
      <c r="Y150" s="17"/>
      <c r="Z150" s="17"/>
      <c r="AA150" s="22">
        <v>714</v>
      </c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22">
        <v>223</v>
      </c>
      <c r="AO150" s="17"/>
      <c r="AP150" s="17"/>
      <c r="AQ150" s="17"/>
      <c r="AR150" s="17"/>
      <c r="AS150" s="17"/>
      <c r="AT150" s="17"/>
      <c r="AU150" s="17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t="s">
        <v>1902</v>
      </c>
      <c r="CD150" t="s">
        <v>1778</v>
      </c>
      <c r="CE150" t="s">
        <v>1562</v>
      </c>
      <c r="CF150" t="s">
        <v>27</v>
      </c>
      <c r="CG150" t="s">
        <v>1659</v>
      </c>
      <c r="CH150" t="s">
        <v>113</v>
      </c>
      <c r="CL150">
        <v>3</v>
      </c>
      <c r="CM150" t="s">
        <v>1659</v>
      </c>
      <c r="CN150">
        <v>2</v>
      </c>
      <c r="CO150" t="s">
        <v>1562</v>
      </c>
      <c r="CP150" t="s">
        <v>27</v>
      </c>
      <c r="CQ150" t="s">
        <v>1966</v>
      </c>
      <c r="CR150" t="s">
        <v>1967</v>
      </c>
      <c r="CS150" t="s">
        <v>121</v>
      </c>
    </row>
    <row r="151" spans="1:97" ht="16.350000000000001" customHeight="1" x14ac:dyDescent="0.25">
      <c r="A151" s="16"/>
      <c r="B151" s="16"/>
      <c r="C151" s="16"/>
      <c r="D151" s="16"/>
      <c r="E151" s="16"/>
      <c r="F151" s="16"/>
      <c r="G151" s="17"/>
      <c r="H151" s="17"/>
      <c r="I151" s="17"/>
      <c r="J151" s="17"/>
      <c r="K151" s="18" t="s">
        <v>460</v>
      </c>
      <c r="L151" s="18" t="s">
        <v>461</v>
      </c>
      <c r="M151" s="17"/>
      <c r="N151" s="17"/>
      <c r="O151" s="18" t="s">
        <v>460</v>
      </c>
      <c r="P151" s="17"/>
      <c r="Q151" s="17"/>
      <c r="R151" s="22">
        <v>715</v>
      </c>
      <c r="S151" s="17"/>
      <c r="T151" s="17"/>
      <c r="U151" s="17"/>
      <c r="V151" s="17"/>
      <c r="W151" s="17"/>
      <c r="X151" s="17"/>
      <c r="Y151" s="17"/>
      <c r="Z151" s="17"/>
      <c r="AA151" s="22">
        <v>715</v>
      </c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22">
        <v>224</v>
      </c>
      <c r="AO151" s="17"/>
      <c r="AP151" s="17"/>
      <c r="AQ151" s="17"/>
      <c r="AR151" s="17"/>
      <c r="AS151" s="17"/>
      <c r="AT151" s="17"/>
      <c r="AU151" s="17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t="s">
        <v>1902</v>
      </c>
      <c r="CD151" t="s">
        <v>99</v>
      </c>
      <c r="CE151" t="s">
        <v>1562</v>
      </c>
      <c r="CF151" t="s">
        <v>21</v>
      </c>
      <c r="CG151" t="s">
        <v>1659</v>
      </c>
      <c r="CH151" t="s">
        <v>1830</v>
      </c>
      <c r="CL151">
        <v>4</v>
      </c>
      <c r="CM151" t="s">
        <v>1944</v>
      </c>
      <c r="CN151">
        <v>2</v>
      </c>
      <c r="CO151" t="s">
        <v>1562</v>
      </c>
      <c r="CP151" t="s">
        <v>21</v>
      </c>
      <c r="CQ151" t="s">
        <v>1959</v>
      </c>
      <c r="CR151" t="s">
        <v>2080</v>
      </c>
      <c r="CS151" t="s">
        <v>121</v>
      </c>
    </row>
    <row r="152" spans="1:97" ht="16.350000000000001" customHeight="1" x14ac:dyDescent="0.25">
      <c r="A152" s="16"/>
      <c r="B152" s="16"/>
      <c r="C152" s="16"/>
      <c r="D152" s="16"/>
      <c r="E152" s="16"/>
      <c r="F152" s="16"/>
      <c r="G152" s="17"/>
      <c r="H152" s="17"/>
      <c r="I152" s="17"/>
      <c r="J152" s="17"/>
      <c r="K152" s="18" t="s">
        <v>462</v>
      </c>
      <c r="L152" s="18" t="s">
        <v>463</v>
      </c>
      <c r="M152" s="17"/>
      <c r="N152" s="17"/>
      <c r="O152" s="18" t="s">
        <v>462</v>
      </c>
      <c r="P152" s="17"/>
      <c r="Q152" s="17"/>
      <c r="R152" s="22">
        <v>717</v>
      </c>
      <c r="S152" s="17"/>
      <c r="T152" s="17"/>
      <c r="U152" s="17"/>
      <c r="V152" s="17"/>
      <c r="W152" s="17"/>
      <c r="X152" s="17"/>
      <c r="Y152" s="17"/>
      <c r="Z152" s="17"/>
      <c r="AA152" s="22">
        <v>717</v>
      </c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22">
        <v>225</v>
      </c>
      <c r="AO152" s="17"/>
      <c r="AP152" s="17"/>
      <c r="AQ152" s="17"/>
      <c r="AR152" s="17"/>
      <c r="AS152" s="17"/>
      <c r="AT152" s="17"/>
      <c r="AU152" s="17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t="s">
        <v>1902</v>
      </c>
      <c r="CD152" t="s">
        <v>1779</v>
      </c>
      <c r="CE152" t="s">
        <v>1562</v>
      </c>
      <c r="CF152" t="s">
        <v>22</v>
      </c>
      <c r="CG152" t="s">
        <v>1659</v>
      </c>
      <c r="CH152" t="s">
        <v>1829</v>
      </c>
      <c r="CL152">
        <v>5</v>
      </c>
      <c r="CM152" t="s">
        <v>1951</v>
      </c>
      <c r="CN152">
        <v>2</v>
      </c>
      <c r="CO152" t="s">
        <v>1562</v>
      </c>
      <c r="CP152" t="s">
        <v>22</v>
      </c>
      <c r="CQ152" t="s">
        <v>1948</v>
      </c>
      <c r="CR152" t="s">
        <v>2081</v>
      </c>
      <c r="CS152" t="s">
        <v>121</v>
      </c>
    </row>
    <row r="153" spans="1:97" ht="16.350000000000001" customHeight="1" x14ac:dyDescent="0.25">
      <c r="A153" s="16"/>
      <c r="B153" s="16"/>
      <c r="C153" s="16"/>
      <c r="D153" s="16"/>
      <c r="E153" s="16"/>
      <c r="F153" s="16"/>
      <c r="G153" s="17"/>
      <c r="H153" s="17"/>
      <c r="I153" s="17"/>
      <c r="J153" s="17"/>
      <c r="K153" s="18" t="s">
        <v>464</v>
      </c>
      <c r="L153" s="18" t="s">
        <v>465</v>
      </c>
      <c r="M153" s="17"/>
      <c r="N153" s="17"/>
      <c r="O153" s="18" t="s">
        <v>464</v>
      </c>
      <c r="P153" s="17"/>
      <c r="Q153" s="17"/>
      <c r="R153" s="22">
        <v>728</v>
      </c>
      <c r="S153" s="17"/>
      <c r="T153" s="17"/>
      <c r="U153" s="17"/>
      <c r="V153" s="17"/>
      <c r="W153" s="17"/>
      <c r="X153" s="17"/>
      <c r="Y153" s="17"/>
      <c r="Z153" s="17"/>
      <c r="AA153" s="22">
        <v>728</v>
      </c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22">
        <v>226</v>
      </c>
      <c r="AO153" s="17"/>
      <c r="AP153" s="17"/>
      <c r="AQ153" s="17"/>
      <c r="AR153" s="17"/>
      <c r="AS153" s="17"/>
      <c r="AT153" s="17"/>
      <c r="AU153" s="17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t="s">
        <v>1902</v>
      </c>
      <c r="CD153" t="s">
        <v>1780</v>
      </c>
      <c r="CE153" t="s">
        <v>1562</v>
      </c>
      <c r="CF153" t="s">
        <v>5</v>
      </c>
      <c r="CG153" t="s">
        <v>1659</v>
      </c>
      <c r="CH153" t="s">
        <v>156</v>
      </c>
      <c r="CL153">
        <v>6</v>
      </c>
      <c r="CM153" t="s">
        <v>1632</v>
      </c>
      <c r="CN153">
        <v>2</v>
      </c>
      <c r="CO153" t="s">
        <v>1562</v>
      </c>
      <c r="CP153" t="s">
        <v>5</v>
      </c>
      <c r="CQ153" t="s">
        <v>1968</v>
      </c>
      <c r="CR153" t="s">
        <v>2082</v>
      </c>
      <c r="CS153" t="s">
        <v>121</v>
      </c>
    </row>
    <row r="154" spans="1:97" ht="16.350000000000001" customHeight="1" x14ac:dyDescent="0.25">
      <c r="A154" s="16"/>
      <c r="B154" s="16"/>
      <c r="C154" s="16"/>
      <c r="D154" s="16"/>
      <c r="E154" s="16"/>
      <c r="F154" s="16"/>
      <c r="G154" s="17"/>
      <c r="H154" s="17"/>
      <c r="I154" s="17"/>
      <c r="J154" s="17"/>
      <c r="K154" s="18" t="s">
        <v>467</v>
      </c>
      <c r="L154" s="18" t="s">
        <v>468</v>
      </c>
      <c r="M154" s="17"/>
      <c r="N154" s="17"/>
      <c r="O154" s="18" t="s">
        <v>467</v>
      </c>
      <c r="P154" s="17"/>
      <c r="Q154" s="17"/>
      <c r="R154" s="22">
        <v>729</v>
      </c>
      <c r="S154" s="17"/>
      <c r="T154" s="17"/>
      <c r="U154" s="17"/>
      <c r="V154" s="17"/>
      <c r="W154" s="17"/>
      <c r="X154" s="17"/>
      <c r="Y154" s="17"/>
      <c r="Z154" s="17"/>
      <c r="AA154" s="22">
        <v>729</v>
      </c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22">
        <v>227</v>
      </c>
      <c r="AO154" s="17"/>
      <c r="AP154" s="17"/>
      <c r="AQ154" s="17"/>
      <c r="AR154" s="17"/>
      <c r="AS154" s="17"/>
      <c r="AT154" s="17"/>
      <c r="AU154" s="17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t="s">
        <v>1902</v>
      </c>
      <c r="CD154" t="s">
        <v>1781</v>
      </c>
      <c r="CE154" t="s">
        <v>1562</v>
      </c>
      <c r="CF154" t="s">
        <v>44</v>
      </c>
      <c r="CG154" t="s">
        <v>1664</v>
      </c>
      <c r="CH154" t="s">
        <v>1830</v>
      </c>
      <c r="CL154">
        <v>7</v>
      </c>
      <c r="CM154" t="s">
        <v>1660</v>
      </c>
      <c r="CN154">
        <v>2</v>
      </c>
      <c r="CO154" t="s">
        <v>1562</v>
      </c>
      <c r="CP154" t="s">
        <v>44</v>
      </c>
      <c r="CQ154" t="s">
        <v>2083</v>
      </c>
      <c r="CR154" t="s">
        <v>2084</v>
      </c>
      <c r="CS154" t="s">
        <v>121</v>
      </c>
    </row>
    <row r="155" spans="1:97" ht="16.350000000000001" customHeight="1" x14ac:dyDescent="0.25">
      <c r="A155" s="16"/>
      <c r="B155" s="16"/>
      <c r="C155" s="16"/>
      <c r="D155" s="16"/>
      <c r="E155" s="16"/>
      <c r="F155" s="16"/>
      <c r="G155" s="17"/>
      <c r="H155" s="17"/>
      <c r="I155" s="17"/>
      <c r="J155" s="17"/>
      <c r="K155" s="18" t="s">
        <v>470</v>
      </c>
      <c r="L155" s="18" t="s">
        <v>471</v>
      </c>
      <c r="M155" s="17"/>
      <c r="N155" s="17"/>
      <c r="O155" s="18" t="s">
        <v>470</v>
      </c>
      <c r="P155" s="17"/>
      <c r="Q155" s="17"/>
      <c r="R155" s="22">
        <v>731</v>
      </c>
      <c r="S155" s="17"/>
      <c r="T155" s="17"/>
      <c r="U155" s="17"/>
      <c r="V155" s="17"/>
      <c r="W155" s="17"/>
      <c r="X155" s="17"/>
      <c r="Y155" s="17"/>
      <c r="Z155" s="17"/>
      <c r="AA155" s="22">
        <v>731</v>
      </c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22">
        <v>228</v>
      </c>
      <c r="AO155" s="17"/>
      <c r="AP155" s="17"/>
      <c r="AQ155" s="17"/>
      <c r="AR155" s="17"/>
      <c r="AS155" s="17"/>
      <c r="AT155" s="17"/>
      <c r="AU155" s="17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t="s">
        <v>1902</v>
      </c>
      <c r="CD155" t="s">
        <v>1782</v>
      </c>
      <c r="CE155" t="s">
        <v>1562</v>
      </c>
      <c r="CF155" t="s">
        <v>45</v>
      </c>
      <c r="CG155" t="s">
        <v>1664</v>
      </c>
      <c r="CH155" t="s">
        <v>1830</v>
      </c>
      <c r="CL155">
        <v>8</v>
      </c>
      <c r="CM155" t="s">
        <v>125</v>
      </c>
      <c r="CN155">
        <v>2</v>
      </c>
      <c r="CO155" t="s">
        <v>1562</v>
      </c>
      <c r="CP155" t="s">
        <v>45</v>
      </c>
      <c r="CQ155" t="s">
        <v>2085</v>
      </c>
      <c r="CR155" t="s">
        <v>2086</v>
      </c>
      <c r="CS155" t="s">
        <v>121</v>
      </c>
    </row>
    <row r="156" spans="1:97" ht="16.350000000000001" customHeight="1" x14ac:dyDescent="0.25">
      <c r="A156" s="16"/>
      <c r="B156" s="16"/>
      <c r="C156" s="16"/>
      <c r="D156" s="16"/>
      <c r="E156" s="16"/>
      <c r="F156" s="16"/>
      <c r="G156" s="17"/>
      <c r="H156" s="17"/>
      <c r="I156" s="17"/>
      <c r="J156" s="17"/>
      <c r="K156" s="18" t="s">
        <v>472</v>
      </c>
      <c r="L156" s="18" t="s">
        <v>473</v>
      </c>
      <c r="M156" s="17"/>
      <c r="N156" s="17"/>
      <c r="O156" s="18" t="s">
        <v>472</v>
      </c>
      <c r="P156" s="17"/>
      <c r="Q156" s="17"/>
      <c r="R156" s="22">
        <v>733</v>
      </c>
      <c r="S156" s="17"/>
      <c r="T156" s="17"/>
      <c r="U156" s="17"/>
      <c r="V156" s="17"/>
      <c r="W156" s="17"/>
      <c r="X156" s="17"/>
      <c r="Y156" s="17"/>
      <c r="Z156" s="17"/>
      <c r="AA156" s="22">
        <v>733</v>
      </c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22">
        <v>229</v>
      </c>
      <c r="AO156" s="17"/>
      <c r="AP156" s="17"/>
      <c r="AQ156" s="17"/>
      <c r="AR156" s="17"/>
      <c r="AS156" s="17"/>
      <c r="AT156" s="17"/>
      <c r="AU156" s="17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t="s">
        <v>1902</v>
      </c>
      <c r="CD156" t="s">
        <v>100</v>
      </c>
      <c r="CE156" t="s">
        <v>1562</v>
      </c>
      <c r="CF156" t="s">
        <v>46</v>
      </c>
      <c r="CG156" t="s">
        <v>1659</v>
      </c>
      <c r="CH156" t="s">
        <v>1830</v>
      </c>
      <c r="CL156">
        <v>9</v>
      </c>
      <c r="CM156" t="s">
        <v>135</v>
      </c>
      <c r="CN156">
        <v>2</v>
      </c>
      <c r="CO156" t="s">
        <v>1562</v>
      </c>
      <c r="CP156" t="s">
        <v>46</v>
      </c>
      <c r="CQ156" t="s">
        <v>2011</v>
      </c>
      <c r="CR156" t="s">
        <v>2087</v>
      </c>
      <c r="CS156" t="s">
        <v>121</v>
      </c>
    </row>
    <row r="157" spans="1:97" ht="16.350000000000001" customHeight="1" x14ac:dyDescent="0.25">
      <c r="A157" s="16"/>
      <c r="B157" s="16"/>
      <c r="C157" s="16"/>
      <c r="D157" s="16"/>
      <c r="E157" s="16"/>
      <c r="F157" s="16"/>
      <c r="G157" s="17"/>
      <c r="H157" s="17"/>
      <c r="I157" s="17"/>
      <c r="J157" s="17"/>
      <c r="K157" s="18" t="s">
        <v>474</v>
      </c>
      <c r="L157" s="18" t="s">
        <v>475</v>
      </c>
      <c r="M157" s="17"/>
      <c r="N157" s="17"/>
      <c r="O157" s="18" t="s">
        <v>474</v>
      </c>
      <c r="P157" s="17"/>
      <c r="Q157" s="17"/>
      <c r="R157" s="22">
        <v>734</v>
      </c>
      <c r="S157" s="17"/>
      <c r="T157" s="17"/>
      <c r="U157" s="17"/>
      <c r="V157" s="17"/>
      <c r="W157" s="17"/>
      <c r="X157" s="17"/>
      <c r="Y157" s="17"/>
      <c r="Z157" s="17"/>
      <c r="AA157" s="22">
        <v>734</v>
      </c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22">
        <v>23</v>
      </c>
      <c r="AO157" s="17"/>
      <c r="AP157" s="17"/>
      <c r="AQ157" s="17"/>
      <c r="AR157" s="17"/>
      <c r="AS157" s="17"/>
      <c r="AT157" s="17"/>
      <c r="AU157" s="17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t="s">
        <v>1902</v>
      </c>
      <c r="CD157" t="s">
        <v>1783</v>
      </c>
      <c r="CE157" t="s">
        <v>1562</v>
      </c>
      <c r="CF157" t="s">
        <v>47</v>
      </c>
      <c r="CG157" t="s">
        <v>1664</v>
      </c>
      <c r="CH157" t="s">
        <v>1903</v>
      </c>
      <c r="CL157">
        <v>10</v>
      </c>
      <c r="CM157" t="s">
        <v>1661</v>
      </c>
      <c r="CN157">
        <v>2</v>
      </c>
      <c r="CO157" t="s">
        <v>1562</v>
      </c>
      <c r="CP157" t="s">
        <v>47</v>
      </c>
      <c r="CQ157" t="s">
        <v>2088</v>
      </c>
      <c r="CR157" t="s">
        <v>2089</v>
      </c>
      <c r="CS157" t="s">
        <v>121</v>
      </c>
    </row>
    <row r="158" spans="1:97" ht="16.350000000000001" customHeight="1" x14ac:dyDescent="0.25">
      <c r="A158" s="16"/>
      <c r="B158" s="16"/>
      <c r="C158" s="16"/>
      <c r="D158" s="16"/>
      <c r="E158" s="16"/>
      <c r="F158" s="16"/>
      <c r="G158" s="17"/>
      <c r="H158" s="17"/>
      <c r="I158" s="17"/>
      <c r="J158" s="17"/>
      <c r="K158" s="18" t="s">
        <v>476</v>
      </c>
      <c r="L158" s="18" t="s">
        <v>477</v>
      </c>
      <c r="M158" s="17"/>
      <c r="N158" s="17"/>
      <c r="O158" s="18" t="s">
        <v>476</v>
      </c>
      <c r="P158" s="17"/>
      <c r="Q158" s="17"/>
      <c r="R158" s="22">
        <v>739</v>
      </c>
      <c r="S158" s="17"/>
      <c r="T158" s="17"/>
      <c r="U158" s="17"/>
      <c r="V158" s="17"/>
      <c r="W158" s="17"/>
      <c r="X158" s="17"/>
      <c r="Y158" s="17"/>
      <c r="Z158" s="17"/>
      <c r="AA158" s="22">
        <v>739</v>
      </c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22">
        <v>230</v>
      </c>
      <c r="AO158" s="17"/>
      <c r="AP158" s="17"/>
      <c r="AQ158" s="17"/>
      <c r="AR158" s="17"/>
      <c r="AS158" s="17"/>
      <c r="AT158" s="17"/>
      <c r="AU158" s="17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t="s">
        <v>1902</v>
      </c>
      <c r="CD158" t="s">
        <v>1784</v>
      </c>
      <c r="CE158" t="s">
        <v>1562</v>
      </c>
      <c r="CF158" t="s">
        <v>16</v>
      </c>
      <c r="CG158" t="s">
        <v>1659</v>
      </c>
      <c r="CH158" t="s">
        <v>1904</v>
      </c>
      <c r="CL158">
        <v>11</v>
      </c>
      <c r="CM158" t="s">
        <v>1662</v>
      </c>
      <c r="CN158">
        <v>2</v>
      </c>
      <c r="CO158" t="s">
        <v>1562</v>
      </c>
      <c r="CP158" t="s">
        <v>16</v>
      </c>
      <c r="CQ158" t="s">
        <v>2090</v>
      </c>
      <c r="CR158" t="s">
        <v>2091</v>
      </c>
      <c r="CS158" t="s">
        <v>121</v>
      </c>
    </row>
    <row r="159" spans="1:97" ht="16.350000000000001" customHeight="1" x14ac:dyDescent="0.25">
      <c r="A159" s="16"/>
      <c r="B159" s="16"/>
      <c r="C159" s="16"/>
      <c r="D159" s="16"/>
      <c r="E159" s="16"/>
      <c r="F159" s="16"/>
      <c r="G159" s="17"/>
      <c r="H159" s="17"/>
      <c r="I159" s="17"/>
      <c r="J159" s="17"/>
      <c r="K159" s="18" t="s">
        <v>478</v>
      </c>
      <c r="L159" s="18" t="s">
        <v>479</v>
      </c>
      <c r="M159" s="17"/>
      <c r="N159" s="17"/>
      <c r="O159" s="18" t="s">
        <v>478</v>
      </c>
      <c r="P159" s="17"/>
      <c r="Q159" s="17"/>
      <c r="R159" s="22">
        <v>740</v>
      </c>
      <c r="S159" s="17"/>
      <c r="T159" s="17"/>
      <c r="U159" s="17"/>
      <c r="V159" s="17"/>
      <c r="W159" s="17"/>
      <c r="X159" s="17"/>
      <c r="Y159" s="17"/>
      <c r="Z159" s="17"/>
      <c r="AA159" s="22">
        <v>740</v>
      </c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22">
        <v>231</v>
      </c>
      <c r="AO159" s="17"/>
      <c r="AP159" s="17"/>
      <c r="AQ159" s="17"/>
      <c r="AR159" s="17"/>
      <c r="AS159" s="17"/>
      <c r="AT159" s="17"/>
      <c r="AU159" s="17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t="s">
        <v>1902</v>
      </c>
      <c r="CD159" t="s">
        <v>1905</v>
      </c>
      <c r="CE159" t="s">
        <v>1562</v>
      </c>
      <c r="CF159" t="s">
        <v>1718</v>
      </c>
      <c r="CG159" t="s">
        <v>1659</v>
      </c>
      <c r="CH159" t="s">
        <v>1841</v>
      </c>
      <c r="CL159">
        <v>12</v>
      </c>
      <c r="CM159" t="s">
        <v>1663</v>
      </c>
      <c r="CN159">
        <v>2</v>
      </c>
      <c r="CO159" t="s">
        <v>1562</v>
      </c>
      <c r="CP159" t="s">
        <v>1718</v>
      </c>
      <c r="CQ159" t="s">
        <v>2057</v>
      </c>
      <c r="CR159" t="s">
        <v>2061</v>
      </c>
      <c r="CS159" t="s">
        <v>121</v>
      </c>
    </row>
    <row r="160" spans="1:97" ht="16.350000000000001" customHeight="1" x14ac:dyDescent="0.25">
      <c r="A160" s="16"/>
      <c r="B160" s="16"/>
      <c r="C160" s="16"/>
      <c r="D160" s="16"/>
      <c r="E160" s="16"/>
      <c r="F160" s="16"/>
      <c r="G160" s="17"/>
      <c r="H160" s="17"/>
      <c r="I160" s="17"/>
      <c r="J160" s="17"/>
      <c r="K160" s="18" t="s">
        <v>481</v>
      </c>
      <c r="L160" s="18" t="s">
        <v>482</v>
      </c>
      <c r="M160" s="17"/>
      <c r="N160" s="17"/>
      <c r="O160" s="18" t="s">
        <v>481</v>
      </c>
      <c r="P160" s="17"/>
      <c r="Q160" s="17"/>
      <c r="R160" s="22">
        <v>742</v>
      </c>
      <c r="S160" s="17"/>
      <c r="T160" s="17"/>
      <c r="U160" s="17"/>
      <c r="V160" s="17"/>
      <c r="W160" s="17"/>
      <c r="X160" s="17"/>
      <c r="Y160" s="17"/>
      <c r="Z160" s="17"/>
      <c r="AA160" s="22">
        <v>742</v>
      </c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22">
        <v>232</v>
      </c>
      <c r="AO160" s="17"/>
      <c r="AP160" s="17"/>
      <c r="AQ160" s="17"/>
      <c r="AR160" s="17"/>
      <c r="AS160" s="17"/>
      <c r="AT160" s="17"/>
      <c r="AU160" s="17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t="s">
        <v>1902</v>
      </c>
      <c r="CD160" t="s">
        <v>1906</v>
      </c>
      <c r="CE160" t="s">
        <v>1562</v>
      </c>
      <c r="CF160" t="s">
        <v>1719</v>
      </c>
      <c r="CG160" t="s">
        <v>1659</v>
      </c>
      <c r="CH160" t="s">
        <v>1847</v>
      </c>
      <c r="CL160">
        <v>13</v>
      </c>
      <c r="CM160" t="s">
        <v>145</v>
      </c>
      <c r="CN160">
        <v>2</v>
      </c>
      <c r="CO160" t="s">
        <v>1562</v>
      </c>
      <c r="CP160" t="s">
        <v>1719</v>
      </c>
      <c r="CQ160" t="s">
        <v>1989</v>
      </c>
      <c r="CR160" t="s">
        <v>2062</v>
      </c>
      <c r="CS160" t="s">
        <v>121</v>
      </c>
    </row>
    <row r="161" spans="1:97" ht="16.149999999999999" customHeight="1" x14ac:dyDescent="0.25">
      <c r="A161" s="16"/>
      <c r="B161" s="16"/>
      <c r="C161" s="16"/>
      <c r="D161" s="16"/>
      <c r="E161" s="16"/>
      <c r="F161" s="16"/>
      <c r="G161" s="17"/>
      <c r="H161" s="17"/>
      <c r="I161" s="17"/>
      <c r="J161" s="17"/>
      <c r="K161" s="18" t="s">
        <v>483</v>
      </c>
      <c r="L161" s="18" t="s">
        <v>484</v>
      </c>
      <c r="M161" s="17"/>
      <c r="N161" s="17"/>
      <c r="O161" s="18" t="s">
        <v>483</v>
      </c>
      <c r="P161" s="17"/>
      <c r="Q161" s="17"/>
      <c r="R161" s="22">
        <v>743</v>
      </c>
      <c r="S161" s="17"/>
      <c r="T161" s="17"/>
      <c r="U161" s="17"/>
      <c r="V161" s="17"/>
      <c r="W161" s="17"/>
      <c r="X161" s="17"/>
      <c r="Y161" s="17"/>
      <c r="Z161" s="17"/>
      <c r="AA161" s="22">
        <v>743</v>
      </c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22">
        <v>233</v>
      </c>
      <c r="AO161" s="17"/>
      <c r="AP161" s="17"/>
      <c r="AQ161" s="17"/>
      <c r="AR161" s="17"/>
      <c r="AS161" s="17"/>
      <c r="AT161" s="17"/>
      <c r="AU161" s="17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t="s">
        <v>1902</v>
      </c>
      <c r="CD161" t="s">
        <v>101</v>
      </c>
      <c r="CE161" t="s">
        <v>1562</v>
      </c>
      <c r="CF161" t="s">
        <v>40</v>
      </c>
      <c r="CG161" t="s">
        <v>1659</v>
      </c>
      <c r="CH161" t="s">
        <v>1830</v>
      </c>
      <c r="CL161">
        <v>14</v>
      </c>
      <c r="CM161" t="s">
        <v>1664</v>
      </c>
      <c r="CN161">
        <v>2</v>
      </c>
      <c r="CO161" t="s">
        <v>1562</v>
      </c>
      <c r="CP161" t="s">
        <v>40</v>
      </c>
      <c r="CQ161" t="s">
        <v>2011</v>
      </c>
      <c r="CR161" t="s">
        <v>2092</v>
      </c>
      <c r="CS161" t="s">
        <v>121</v>
      </c>
    </row>
    <row r="162" spans="1:97" ht="16.149999999999999" customHeight="1" x14ac:dyDescent="0.25">
      <c r="A162" s="16"/>
      <c r="B162" s="16"/>
      <c r="C162" s="16"/>
      <c r="D162" s="16"/>
      <c r="E162" s="16"/>
      <c r="F162" s="16"/>
      <c r="G162" s="17"/>
      <c r="H162" s="17"/>
      <c r="I162" s="17"/>
      <c r="J162" s="17"/>
      <c r="K162" s="18" t="s">
        <v>485</v>
      </c>
      <c r="L162" s="18" t="s">
        <v>486</v>
      </c>
      <c r="M162" s="17"/>
      <c r="N162" s="17"/>
      <c r="O162" s="18" t="s">
        <v>485</v>
      </c>
      <c r="P162" s="17"/>
      <c r="Q162" s="17"/>
      <c r="R162" s="22">
        <v>744</v>
      </c>
      <c r="S162" s="17"/>
      <c r="T162" s="17"/>
      <c r="U162" s="17"/>
      <c r="V162" s="17"/>
      <c r="W162" s="17"/>
      <c r="X162" s="17"/>
      <c r="Y162" s="17"/>
      <c r="Z162" s="17"/>
      <c r="AA162" s="22">
        <v>744</v>
      </c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22">
        <v>234</v>
      </c>
      <c r="AO162" s="17"/>
      <c r="AP162" s="17"/>
      <c r="AQ162" s="17"/>
      <c r="AR162" s="17"/>
      <c r="AS162" s="17"/>
      <c r="AT162" s="17"/>
      <c r="AU162" s="17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t="s">
        <v>1902</v>
      </c>
      <c r="CD162" t="s">
        <v>1785</v>
      </c>
      <c r="CE162" t="s">
        <v>1562</v>
      </c>
      <c r="CF162" t="s">
        <v>41</v>
      </c>
      <c r="CG162" t="s">
        <v>1659</v>
      </c>
      <c r="CH162" t="s">
        <v>1907</v>
      </c>
      <c r="CL162">
        <v>15</v>
      </c>
      <c r="CM162" t="s">
        <v>1665</v>
      </c>
      <c r="CN162">
        <v>2</v>
      </c>
      <c r="CO162" t="s">
        <v>1562</v>
      </c>
      <c r="CP162" t="s">
        <v>41</v>
      </c>
      <c r="CQ162" t="s">
        <v>2093</v>
      </c>
      <c r="CR162" t="s">
        <v>2094</v>
      </c>
      <c r="CS162" t="s">
        <v>121</v>
      </c>
    </row>
    <row r="163" spans="1:97" ht="16.149999999999999" customHeight="1" x14ac:dyDescent="0.25">
      <c r="A163" s="16"/>
      <c r="B163" s="16"/>
      <c r="C163" s="16"/>
      <c r="D163" s="16"/>
      <c r="E163" s="16"/>
      <c r="F163" s="16"/>
      <c r="G163" s="17"/>
      <c r="H163" s="17"/>
      <c r="I163" s="17"/>
      <c r="J163" s="17"/>
      <c r="K163" s="18" t="s">
        <v>488</v>
      </c>
      <c r="L163" s="18" t="s">
        <v>489</v>
      </c>
      <c r="M163" s="17"/>
      <c r="N163" s="17"/>
      <c r="O163" s="18" t="s">
        <v>488</v>
      </c>
      <c r="P163" s="17"/>
      <c r="Q163" s="17"/>
      <c r="R163" s="22">
        <v>745</v>
      </c>
      <c r="S163" s="17"/>
      <c r="T163" s="17"/>
      <c r="U163" s="17"/>
      <c r="V163" s="17"/>
      <c r="W163" s="17"/>
      <c r="X163" s="17"/>
      <c r="Y163" s="17"/>
      <c r="Z163" s="17"/>
      <c r="AA163" s="22">
        <v>745</v>
      </c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22">
        <v>235</v>
      </c>
      <c r="AO163" s="17"/>
      <c r="AP163" s="17"/>
      <c r="AQ163" s="17"/>
      <c r="AR163" s="17"/>
      <c r="AS163" s="17"/>
      <c r="AT163" s="17"/>
      <c r="AU163" s="17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t="s">
        <v>1902</v>
      </c>
      <c r="CD163" t="s">
        <v>1908</v>
      </c>
      <c r="CE163" t="s">
        <v>1562</v>
      </c>
      <c r="CF163" t="s">
        <v>1726</v>
      </c>
      <c r="CG163" t="s">
        <v>1659</v>
      </c>
      <c r="CH163" t="s">
        <v>1841</v>
      </c>
      <c r="CL163">
        <v>16</v>
      </c>
      <c r="CM163" t="s">
        <v>1666</v>
      </c>
      <c r="CN163">
        <v>2</v>
      </c>
      <c r="CO163" t="s">
        <v>1562</v>
      </c>
      <c r="CP163" t="s">
        <v>1726</v>
      </c>
      <c r="CQ163" t="s">
        <v>2057</v>
      </c>
      <c r="CR163" t="s">
        <v>2020</v>
      </c>
      <c r="CS163" t="s">
        <v>121</v>
      </c>
    </row>
    <row r="164" spans="1:97" ht="16.149999999999999" customHeight="1" x14ac:dyDescent="0.25">
      <c r="A164" s="16"/>
      <c r="B164" s="16"/>
      <c r="C164" s="16"/>
      <c r="D164" s="16"/>
      <c r="E164" s="16"/>
      <c r="F164" s="16"/>
      <c r="G164" s="17"/>
      <c r="H164" s="17"/>
      <c r="I164" s="17"/>
      <c r="J164" s="17"/>
      <c r="K164" s="18" t="s">
        <v>490</v>
      </c>
      <c r="L164" s="18" t="s">
        <v>491</v>
      </c>
      <c r="M164" s="17"/>
      <c r="N164" s="17"/>
      <c r="O164" s="18" t="s">
        <v>490</v>
      </c>
      <c r="P164" s="17"/>
      <c r="Q164" s="17"/>
      <c r="R164" s="22">
        <v>746</v>
      </c>
      <c r="S164" s="17"/>
      <c r="T164" s="17"/>
      <c r="U164" s="17"/>
      <c r="V164" s="17"/>
      <c r="W164" s="17"/>
      <c r="X164" s="17"/>
      <c r="Y164" s="17"/>
      <c r="Z164" s="17"/>
      <c r="AA164" s="22">
        <v>746</v>
      </c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22">
        <v>236</v>
      </c>
      <c r="AO164" s="17"/>
      <c r="AP164" s="17"/>
      <c r="AQ164" s="17"/>
      <c r="AR164" s="17"/>
      <c r="AS164" s="17"/>
      <c r="AT164" s="17"/>
      <c r="AU164" s="17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t="s">
        <v>1902</v>
      </c>
      <c r="CD164" t="s">
        <v>1909</v>
      </c>
      <c r="CE164" t="s">
        <v>1562</v>
      </c>
      <c r="CF164" t="s">
        <v>1727</v>
      </c>
      <c r="CG164" t="s">
        <v>1659</v>
      </c>
      <c r="CH164" t="s">
        <v>1847</v>
      </c>
      <c r="CL164">
        <v>17</v>
      </c>
      <c r="CM164" t="s">
        <v>1667</v>
      </c>
      <c r="CN164">
        <v>2</v>
      </c>
      <c r="CO164" t="s">
        <v>1562</v>
      </c>
      <c r="CP164" t="s">
        <v>1727</v>
      </c>
      <c r="CQ164" t="s">
        <v>1989</v>
      </c>
      <c r="CR164" t="s">
        <v>1990</v>
      </c>
      <c r="CS164" t="s">
        <v>121</v>
      </c>
    </row>
    <row r="165" spans="1:97" ht="16.149999999999999" customHeight="1" x14ac:dyDescent="0.25">
      <c r="A165" s="16"/>
      <c r="B165" s="16"/>
      <c r="C165" s="16"/>
      <c r="D165" s="16"/>
      <c r="E165" s="16"/>
      <c r="F165" s="16"/>
      <c r="G165" s="17"/>
      <c r="H165" s="17"/>
      <c r="I165" s="17"/>
      <c r="J165" s="17"/>
      <c r="K165" s="18" t="s">
        <v>492</v>
      </c>
      <c r="L165" s="18" t="s">
        <v>493</v>
      </c>
      <c r="M165" s="17"/>
      <c r="N165" s="17"/>
      <c r="O165" s="18" t="s">
        <v>492</v>
      </c>
      <c r="P165" s="17"/>
      <c r="Q165" s="17"/>
      <c r="R165" s="22">
        <v>747</v>
      </c>
      <c r="S165" s="17"/>
      <c r="T165" s="17"/>
      <c r="U165" s="17"/>
      <c r="V165" s="17"/>
      <c r="W165" s="17"/>
      <c r="X165" s="17"/>
      <c r="Y165" s="17"/>
      <c r="Z165" s="17"/>
      <c r="AA165" s="22">
        <v>747</v>
      </c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22">
        <v>237</v>
      </c>
      <c r="AO165" s="17"/>
      <c r="AP165" s="17"/>
      <c r="AQ165" s="17"/>
      <c r="AR165" s="17"/>
      <c r="AS165" s="17"/>
      <c r="AT165" s="17"/>
      <c r="AU165" s="17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t="s">
        <v>1902</v>
      </c>
      <c r="CD165" t="s">
        <v>1786</v>
      </c>
      <c r="CE165" t="s">
        <v>1562</v>
      </c>
      <c r="CF165" t="s">
        <v>42</v>
      </c>
      <c r="CG165" t="s">
        <v>1659</v>
      </c>
      <c r="CH165" t="s">
        <v>156</v>
      </c>
      <c r="CL165">
        <v>18</v>
      </c>
      <c r="CM165" t="s">
        <v>1668</v>
      </c>
      <c r="CN165">
        <v>2</v>
      </c>
      <c r="CO165" t="s">
        <v>1562</v>
      </c>
      <c r="CP165" t="s">
        <v>42</v>
      </c>
      <c r="CQ165" t="s">
        <v>2026</v>
      </c>
      <c r="CR165" t="s">
        <v>2095</v>
      </c>
      <c r="CS165" t="s">
        <v>121</v>
      </c>
    </row>
    <row r="166" spans="1:97" ht="16.149999999999999" customHeight="1" x14ac:dyDescent="0.25">
      <c r="A166" s="16"/>
      <c r="B166" s="16"/>
      <c r="C166" s="16"/>
      <c r="D166" s="16"/>
      <c r="E166" s="16"/>
      <c r="F166" s="16"/>
      <c r="G166" s="17"/>
      <c r="H166" s="17"/>
      <c r="I166" s="17"/>
      <c r="J166" s="17"/>
      <c r="K166" s="18" t="s">
        <v>494</v>
      </c>
      <c r="L166" s="18" t="s">
        <v>495</v>
      </c>
      <c r="M166" s="17"/>
      <c r="N166" s="17"/>
      <c r="O166" s="18" t="s">
        <v>494</v>
      </c>
      <c r="P166" s="17"/>
      <c r="Q166" s="17"/>
      <c r="R166" s="22">
        <v>748</v>
      </c>
      <c r="S166" s="17"/>
      <c r="T166" s="17"/>
      <c r="U166" s="17"/>
      <c r="V166" s="17"/>
      <c r="W166" s="17"/>
      <c r="X166" s="17"/>
      <c r="Y166" s="17"/>
      <c r="Z166" s="17"/>
      <c r="AA166" s="22">
        <v>748</v>
      </c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22">
        <v>238</v>
      </c>
      <c r="AO166" s="17"/>
      <c r="AP166" s="17"/>
      <c r="AQ166" s="17"/>
      <c r="AR166" s="17"/>
      <c r="AS166" s="17"/>
      <c r="AT166" s="17"/>
      <c r="AU166" s="17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t="s">
        <v>1902</v>
      </c>
      <c r="CD166" t="s">
        <v>1910</v>
      </c>
      <c r="CE166" t="s">
        <v>1562</v>
      </c>
      <c r="CF166" t="s">
        <v>1717</v>
      </c>
      <c r="CG166" t="s">
        <v>1659</v>
      </c>
      <c r="CH166" t="s">
        <v>1849</v>
      </c>
      <c r="CL166">
        <v>19</v>
      </c>
      <c r="CM166" t="s">
        <v>1669</v>
      </c>
      <c r="CN166">
        <v>2</v>
      </c>
      <c r="CO166" t="s">
        <v>1562</v>
      </c>
      <c r="CP166" t="s">
        <v>1717</v>
      </c>
      <c r="CQ166" t="s">
        <v>2028</v>
      </c>
      <c r="CR166" t="s">
        <v>2096</v>
      </c>
      <c r="CS166" t="s">
        <v>121</v>
      </c>
    </row>
    <row r="167" spans="1:97" ht="16.149999999999999" customHeight="1" x14ac:dyDescent="0.25">
      <c r="A167" s="16"/>
      <c r="B167" s="16"/>
      <c r="C167" s="16"/>
      <c r="D167" s="16"/>
      <c r="E167" s="16"/>
      <c r="F167" s="16"/>
      <c r="G167" s="17"/>
      <c r="H167" s="17"/>
      <c r="I167" s="17"/>
      <c r="J167" s="17"/>
      <c r="K167" s="18" t="s">
        <v>497</v>
      </c>
      <c r="L167" s="18" t="s">
        <v>498</v>
      </c>
      <c r="M167" s="17"/>
      <c r="N167" s="17"/>
      <c r="O167" s="18" t="s">
        <v>497</v>
      </c>
      <c r="P167" s="17"/>
      <c r="Q167" s="17"/>
      <c r="R167" s="22">
        <v>749</v>
      </c>
      <c r="S167" s="17"/>
      <c r="T167" s="17"/>
      <c r="U167" s="17"/>
      <c r="V167" s="17"/>
      <c r="W167" s="17"/>
      <c r="X167" s="17"/>
      <c r="Y167" s="17"/>
      <c r="Z167" s="17"/>
      <c r="AA167" s="22">
        <v>749</v>
      </c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22">
        <v>239</v>
      </c>
      <c r="AO167" s="17"/>
      <c r="AP167" s="17"/>
      <c r="AQ167" s="17"/>
      <c r="AR167" s="17"/>
      <c r="AS167" s="17"/>
      <c r="AT167" s="17"/>
      <c r="AU167" s="17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t="s">
        <v>1902</v>
      </c>
      <c r="CD167" t="s">
        <v>1787</v>
      </c>
      <c r="CE167" t="s">
        <v>1562</v>
      </c>
      <c r="CF167" t="s">
        <v>1552</v>
      </c>
      <c r="CG167" t="s">
        <v>1664</v>
      </c>
      <c r="CH167" t="s">
        <v>1835</v>
      </c>
      <c r="CL167">
        <v>20</v>
      </c>
      <c r="CM167" t="s">
        <v>1670</v>
      </c>
      <c r="CN167">
        <v>2</v>
      </c>
      <c r="CO167" t="s">
        <v>1562</v>
      </c>
      <c r="CP167" t="s">
        <v>1552</v>
      </c>
      <c r="CQ167" t="s">
        <v>1962</v>
      </c>
      <c r="CR167" t="s">
        <v>2097</v>
      </c>
      <c r="CS167" t="s">
        <v>121</v>
      </c>
    </row>
    <row r="168" spans="1:97" ht="16.149999999999999" customHeight="1" x14ac:dyDescent="0.25">
      <c r="A168" s="16"/>
      <c r="B168" s="16"/>
      <c r="C168" s="16"/>
      <c r="D168" s="16"/>
      <c r="E168" s="16"/>
      <c r="F168" s="16"/>
      <c r="G168" s="17"/>
      <c r="H168" s="17"/>
      <c r="I168" s="17"/>
      <c r="J168" s="17"/>
      <c r="K168" s="18" t="s">
        <v>499</v>
      </c>
      <c r="L168" s="18" t="s">
        <v>500</v>
      </c>
      <c r="M168" s="17"/>
      <c r="N168" s="17"/>
      <c r="O168" s="18" t="s">
        <v>499</v>
      </c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22">
        <v>24</v>
      </c>
      <c r="AO168" s="17"/>
      <c r="AP168" s="17"/>
      <c r="AQ168" s="17"/>
      <c r="AR168" s="17"/>
      <c r="AS168" s="17"/>
      <c r="AT168" s="17"/>
      <c r="AU168" s="17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t="s">
        <v>1911</v>
      </c>
      <c r="CE168" t="s">
        <v>1563</v>
      </c>
      <c r="CF168" t="s">
        <v>1572</v>
      </c>
      <c r="CL168">
        <v>1</v>
      </c>
      <c r="CM168" t="s">
        <v>1936</v>
      </c>
      <c r="CN168">
        <v>2</v>
      </c>
      <c r="CO168" t="s">
        <v>1563</v>
      </c>
      <c r="CP168" t="s">
        <v>1572</v>
      </c>
      <c r="CQ168" t="s">
        <v>121</v>
      </c>
      <c r="CR168" t="s">
        <v>121</v>
      </c>
      <c r="CS168" t="s">
        <v>121</v>
      </c>
    </row>
    <row r="169" spans="1:97" ht="16.149999999999999" customHeight="1" x14ac:dyDescent="0.25">
      <c r="A169" s="16"/>
      <c r="B169" s="16"/>
      <c r="C169" s="16"/>
      <c r="D169" s="16"/>
      <c r="E169" s="16"/>
      <c r="F169" s="16"/>
      <c r="G169" s="17"/>
      <c r="H169" s="17"/>
      <c r="I169" s="17"/>
      <c r="J169" s="17"/>
      <c r="K169" s="18" t="s">
        <v>501</v>
      </c>
      <c r="L169" s="18" t="s">
        <v>502</v>
      </c>
      <c r="M169" s="17"/>
      <c r="N169" s="17"/>
      <c r="O169" s="18" t="s">
        <v>501</v>
      </c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22">
        <v>240</v>
      </c>
      <c r="AO169" s="17"/>
      <c r="AP169" s="17"/>
      <c r="AQ169" s="17"/>
      <c r="AR169" s="17"/>
      <c r="AS169" s="17"/>
      <c r="AT169" s="17"/>
      <c r="AU169" s="17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t="s">
        <v>1911</v>
      </c>
      <c r="CE169" t="s">
        <v>1563</v>
      </c>
      <c r="CF169" t="s">
        <v>1571</v>
      </c>
      <c r="CL169">
        <v>2</v>
      </c>
      <c r="CM169" t="s">
        <v>1939</v>
      </c>
      <c r="CN169">
        <v>2</v>
      </c>
      <c r="CO169" t="s">
        <v>1563</v>
      </c>
      <c r="CP169" t="s">
        <v>1571</v>
      </c>
      <c r="CQ169" t="s">
        <v>1964</v>
      </c>
      <c r="CR169" t="s">
        <v>1965</v>
      </c>
      <c r="CS169" t="s">
        <v>121</v>
      </c>
    </row>
    <row r="170" spans="1:97" ht="16.149999999999999" customHeight="1" x14ac:dyDescent="0.25">
      <c r="A170" s="16"/>
      <c r="B170" s="16"/>
      <c r="C170" s="16"/>
      <c r="D170" s="16"/>
      <c r="E170" s="16"/>
      <c r="F170" s="16"/>
      <c r="G170" s="17"/>
      <c r="H170" s="17"/>
      <c r="I170" s="17"/>
      <c r="J170" s="17"/>
      <c r="K170" s="18" t="s">
        <v>503</v>
      </c>
      <c r="L170" s="18" t="s">
        <v>504</v>
      </c>
      <c r="M170" s="17"/>
      <c r="N170" s="17"/>
      <c r="O170" s="18" t="s">
        <v>503</v>
      </c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22">
        <v>241</v>
      </c>
      <c r="AO170" s="17"/>
      <c r="AP170" s="17"/>
      <c r="AQ170" s="17"/>
      <c r="AR170" s="17"/>
      <c r="AS170" s="17"/>
      <c r="AT170" s="17"/>
      <c r="AU170" s="17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t="s">
        <v>1911</v>
      </c>
      <c r="CD170" t="s">
        <v>1788</v>
      </c>
      <c r="CE170" t="s">
        <v>1563</v>
      </c>
      <c r="CF170" t="s">
        <v>27</v>
      </c>
      <c r="CG170" t="s">
        <v>1659</v>
      </c>
      <c r="CH170" t="s">
        <v>1912</v>
      </c>
      <c r="CL170">
        <v>3</v>
      </c>
      <c r="CM170" t="s">
        <v>1659</v>
      </c>
      <c r="CN170">
        <v>2</v>
      </c>
      <c r="CO170" t="s">
        <v>1563</v>
      </c>
      <c r="CP170" t="s">
        <v>27</v>
      </c>
      <c r="CQ170" t="s">
        <v>1966</v>
      </c>
      <c r="CR170" t="s">
        <v>1967</v>
      </c>
      <c r="CS170" t="s">
        <v>121</v>
      </c>
    </row>
    <row r="171" spans="1:97" ht="16.149999999999999" customHeight="1" x14ac:dyDescent="0.25">
      <c r="A171" s="16"/>
      <c r="B171" s="16"/>
      <c r="C171" s="16"/>
      <c r="D171" s="16"/>
      <c r="E171" s="16"/>
      <c r="F171" s="16"/>
      <c r="G171" s="17"/>
      <c r="H171" s="17"/>
      <c r="I171" s="17"/>
      <c r="J171" s="17"/>
      <c r="K171" s="18" t="s">
        <v>505</v>
      </c>
      <c r="L171" s="18" t="s">
        <v>506</v>
      </c>
      <c r="M171" s="17"/>
      <c r="N171" s="17"/>
      <c r="O171" s="18" t="s">
        <v>505</v>
      </c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22">
        <v>242</v>
      </c>
      <c r="AO171" s="17"/>
      <c r="AP171" s="17"/>
      <c r="AQ171" s="17"/>
      <c r="AR171" s="17"/>
      <c r="AS171" s="17"/>
      <c r="AT171" s="17"/>
      <c r="AU171" s="17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t="s">
        <v>1911</v>
      </c>
      <c r="CD171" t="s">
        <v>1789</v>
      </c>
      <c r="CE171" t="s">
        <v>1563</v>
      </c>
      <c r="CF171" t="s">
        <v>29</v>
      </c>
      <c r="CG171" t="s">
        <v>1659</v>
      </c>
      <c r="CH171" t="s">
        <v>1879</v>
      </c>
      <c r="CL171">
        <v>4</v>
      </c>
      <c r="CM171" t="s">
        <v>1944</v>
      </c>
      <c r="CN171">
        <v>2</v>
      </c>
      <c r="CO171" t="s">
        <v>1563</v>
      </c>
      <c r="CP171" t="s">
        <v>29</v>
      </c>
      <c r="CQ171" t="s">
        <v>2031</v>
      </c>
      <c r="CR171" t="s">
        <v>2098</v>
      </c>
      <c r="CS171" t="s">
        <v>121</v>
      </c>
    </row>
    <row r="172" spans="1:97" ht="16.149999999999999" customHeight="1" x14ac:dyDescent="0.25">
      <c r="A172" s="16"/>
      <c r="B172" s="16"/>
      <c r="C172" s="16"/>
      <c r="D172" s="16"/>
      <c r="E172" s="16"/>
      <c r="F172" s="16"/>
      <c r="G172" s="17"/>
      <c r="H172" s="17"/>
      <c r="I172" s="17"/>
      <c r="J172" s="17"/>
      <c r="K172" s="18" t="s">
        <v>507</v>
      </c>
      <c r="L172" s="18" t="s">
        <v>508</v>
      </c>
      <c r="M172" s="17"/>
      <c r="N172" s="17"/>
      <c r="O172" s="18" t="s">
        <v>507</v>
      </c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22">
        <v>243</v>
      </c>
      <c r="AO172" s="17"/>
      <c r="AP172" s="17"/>
      <c r="AQ172" s="17"/>
      <c r="AR172" s="17"/>
      <c r="AS172" s="17"/>
      <c r="AT172" s="17"/>
      <c r="AU172" s="17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t="s">
        <v>1911</v>
      </c>
      <c r="CD172" t="s">
        <v>1790</v>
      </c>
      <c r="CE172" t="s">
        <v>1563</v>
      </c>
      <c r="CF172" t="s">
        <v>48</v>
      </c>
      <c r="CG172" t="s">
        <v>1659</v>
      </c>
      <c r="CH172" t="s">
        <v>156</v>
      </c>
      <c r="CL172">
        <v>5</v>
      </c>
      <c r="CM172" t="s">
        <v>1951</v>
      </c>
      <c r="CN172">
        <v>2</v>
      </c>
      <c r="CO172" t="s">
        <v>1563</v>
      </c>
      <c r="CP172" t="s">
        <v>48</v>
      </c>
      <c r="CQ172" t="s">
        <v>1968</v>
      </c>
      <c r="CR172" t="s">
        <v>2052</v>
      </c>
      <c r="CS172" t="s">
        <v>121</v>
      </c>
    </row>
    <row r="173" spans="1:97" ht="16.149999999999999" customHeight="1" x14ac:dyDescent="0.25">
      <c r="A173" s="16"/>
      <c r="B173" s="16"/>
      <c r="C173" s="16"/>
      <c r="D173" s="16"/>
      <c r="E173" s="16"/>
      <c r="F173" s="16"/>
      <c r="G173" s="17"/>
      <c r="H173" s="17"/>
      <c r="I173" s="17"/>
      <c r="J173" s="17"/>
      <c r="K173" s="18" t="s">
        <v>509</v>
      </c>
      <c r="L173" s="18" t="s">
        <v>510</v>
      </c>
      <c r="M173" s="17"/>
      <c r="N173" s="17"/>
      <c r="O173" s="18" t="s">
        <v>509</v>
      </c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22">
        <v>244</v>
      </c>
      <c r="AO173" s="17"/>
      <c r="AP173" s="17"/>
      <c r="AQ173" s="17"/>
      <c r="AR173" s="17"/>
      <c r="AS173" s="17"/>
      <c r="AT173" s="17"/>
      <c r="AU173" s="17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t="s">
        <v>1911</v>
      </c>
      <c r="CD173" t="s">
        <v>1791</v>
      </c>
      <c r="CE173" t="s">
        <v>1563</v>
      </c>
      <c r="CF173" t="s">
        <v>16</v>
      </c>
      <c r="CG173" t="s">
        <v>1659</v>
      </c>
      <c r="CH173" t="s">
        <v>1839</v>
      </c>
      <c r="CL173">
        <v>6</v>
      </c>
      <c r="CM173" t="s">
        <v>1632</v>
      </c>
      <c r="CN173">
        <v>2</v>
      </c>
      <c r="CO173" t="s">
        <v>1563</v>
      </c>
      <c r="CP173" t="s">
        <v>16</v>
      </c>
      <c r="CQ173" t="s">
        <v>2055</v>
      </c>
      <c r="CR173" t="s">
        <v>2013</v>
      </c>
      <c r="CS173" t="s">
        <v>121</v>
      </c>
    </row>
    <row r="174" spans="1:97" ht="16.149999999999999" customHeight="1" x14ac:dyDescent="0.25">
      <c r="A174" s="16"/>
      <c r="B174" s="16"/>
      <c r="C174" s="16"/>
      <c r="D174" s="16"/>
      <c r="E174" s="16"/>
      <c r="F174" s="16"/>
      <c r="G174" s="17"/>
      <c r="H174" s="17"/>
      <c r="I174" s="17"/>
      <c r="J174" s="17"/>
      <c r="K174" s="18" t="s">
        <v>511</v>
      </c>
      <c r="L174" s="18" t="s">
        <v>512</v>
      </c>
      <c r="M174" s="17"/>
      <c r="N174" s="17"/>
      <c r="O174" s="18" t="s">
        <v>511</v>
      </c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22">
        <v>245</v>
      </c>
      <c r="AO174" s="17"/>
      <c r="AP174" s="17"/>
      <c r="AQ174" s="17"/>
      <c r="AR174" s="17"/>
      <c r="AS174" s="17"/>
      <c r="AT174" s="17"/>
      <c r="AU174" s="17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t="s">
        <v>1911</v>
      </c>
      <c r="CD174" t="s">
        <v>1913</v>
      </c>
      <c r="CE174" t="s">
        <v>1563</v>
      </c>
      <c r="CF174" t="s">
        <v>1718</v>
      </c>
      <c r="CG174" t="s">
        <v>1659</v>
      </c>
      <c r="CH174" t="s">
        <v>1841</v>
      </c>
      <c r="CL174">
        <v>7</v>
      </c>
      <c r="CM174" t="s">
        <v>1660</v>
      </c>
      <c r="CN174">
        <v>2</v>
      </c>
      <c r="CO174" t="s">
        <v>1563</v>
      </c>
      <c r="CP174" t="s">
        <v>1718</v>
      </c>
      <c r="CQ174" t="s">
        <v>2057</v>
      </c>
      <c r="CR174" t="s">
        <v>2014</v>
      </c>
      <c r="CS174" t="s">
        <v>121</v>
      </c>
    </row>
    <row r="175" spans="1:97" ht="16.149999999999999" customHeight="1" x14ac:dyDescent="0.25">
      <c r="A175" s="16"/>
      <c r="B175" s="16"/>
      <c r="C175" s="16"/>
      <c r="D175" s="16"/>
      <c r="E175" s="16"/>
      <c r="F175" s="16"/>
      <c r="G175" s="17"/>
      <c r="H175" s="17"/>
      <c r="I175" s="17"/>
      <c r="J175" s="17"/>
      <c r="K175" s="18" t="s">
        <v>513</v>
      </c>
      <c r="L175" s="18" t="s">
        <v>514</v>
      </c>
      <c r="M175" s="17"/>
      <c r="N175" s="17"/>
      <c r="O175" s="18" t="s">
        <v>513</v>
      </c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22">
        <v>246</v>
      </c>
      <c r="AO175" s="17"/>
      <c r="AP175" s="17"/>
      <c r="AQ175" s="17"/>
      <c r="AR175" s="17"/>
      <c r="AS175" s="17"/>
      <c r="AT175" s="17"/>
      <c r="AU175" s="17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t="s">
        <v>1911</v>
      </c>
      <c r="CD175" t="s">
        <v>1914</v>
      </c>
      <c r="CE175" t="s">
        <v>1563</v>
      </c>
      <c r="CF175" t="s">
        <v>1719</v>
      </c>
      <c r="CG175" t="s">
        <v>1659</v>
      </c>
      <c r="CH175" t="s">
        <v>1847</v>
      </c>
      <c r="CL175">
        <v>8</v>
      </c>
      <c r="CM175" t="s">
        <v>125</v>
      </c>
      <c r="CN175">
        <v>2</v>
      </c>
      <c r="CO175" t="s">
        <v>1563</v>
      </c>
      <c r="CP175" t="s">
        <v>1719</v>
      </c>
      <c r="CQ175" t="s">
        <v>1989</v>
      </c>
      <c r="CR175" t="s">
        <v>2015</v>
      </c>
      <c r="CS175" t="s">
        <v>121</v>
      </c>
    </row>
    <row r="176" spans="1:97" ht="16.149999999999999" customHeight="1" x14ac:dyDescent="0.25">
      <c r="A176" s="16"/>
      <c r="B176" s="16"/>
      <c r="C176" s="16"/>
      <c r="D176" s="16"/>
      <c r="E176" s="16"/>
      <c r="F176" s="16"/>
      <c r="G176" s="17"/>
      <c r="H176" s="17"/>
      <c r="I176" s="17"/>
      <c r="J176" s="17"/>
      <c r="K176" s="18" t="s">
        <v>515</v>
      </c>
      <c r="L176" s="18" t="s">
        <v>516</v>
      </c>
      <c r="M176" s="17"/>
      <c r="N176" s="17"/>
      <c r="O176" s="18" t="s">
        <v>515</v>
      </c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22">
        <v>247</v>
      </c>
      <c r="AO176" s="17"/>
      <c r="AP176" s="17"/>
      <c r="AQ176" s="17"/>
      <c r="AR176" s="17"/>
      <c r="AS176" s="17"/>
      <c r="AT176" s="17"/>
      <c r="AU176" s="17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t="s">
        <v>1911</v>
      </c>
      <c r="CD176" t="s">
        <v>1792</v>
      </c>
      <c r="CE176" t="s">
        <v>1563</v>
      </c>
      <c r="CF176" t="s">
        <v>34</v>
      </c>
      <c r="CG176" t="s">
        <v>1659</v>
      </c>
      <c r="CH176" t="s">
        <v>1844</v>
      </c>
      <c r="CL176">
        <v>9</v>
      </c>
      <c r="CM176" t="s">
        <v>135</v>
      </c>
      <c r="CN176">
        <v>2</v>
      </c>
      <c r="CO176" t="s">
        <v>1563</v>
      </c>
      <c r="CP176" t="s">
        <v>34</v>
      </c>
      <c r="CQ176" t="s">
        <v>1980</v>
      </c>
      <c r="CR176" t="s">
        <v>2016</v>
      </c>
      <c r="CS176" t="s">
        <v>121</v>
      </c>
    </row>
    <row r="177" spans="1:97" ht="16.149999999999999" customHeight="1" x14ac:dyDescent="0.25">
      <c r="A177" s="16"/>
      <c r="B177" s="16"/>
      <c r="C177" s="16"/>
      <c r="D177" s="16"/>
      <c r="E177" s="16"/>
      <c r="F177" s="16"/>
      <c r="G177" s="17"/>
      <c r="H177" s="17"/>
      <c r="I177" s="17"/>
      <c r="J177" s="17"/>
      <c r="K177" s="18" t="s">
        <v>517</v>
      </c>
      <c r="L177" s="18" t="s">
        <v>518</v>
      </c>
      <c r="M177" s="17"/>
      <c r="N177" s="17"/>
      <c r="O177" s="18" t="s">
        <v>517</v>
      </c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22">
        <v>248</v>
      </c>
      <c r="AO177" s="17"/>
      <c r="AP177" s="17"/>
      <c r="AQ177" s="17"/>
      <c r="AR177" s="17"/>
      <c r="AS177" s="17"/>
      <c r="AT177" s="17"/>
      <c r="AU177" s="17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t="s">
        <v>1911</v>
      </c>
      <c r="CD177" t="s">
        <v>1915</v>
      </c>
      <c r="CE177" t="s">
        <v>1563</v>
      </c>
      <c r="CF177" t="s">
        <v>1728</v>
      </c>
      <c r="CG177" t="s">
        <v>1659</v>
      </c>
      <c r="CH177" t="s">
        <v>1841</v>
      </c>
      <c r="CL177">
        <v>10</v>
      </c>
      <c r="CM177" t="s">
        <v>1661</v>
      </c>
      <c r="CN177">
        <v>2</v>
      </c>
      <c r="CO177" t="s">
        <v>1563</v>
      </c>
      <c r="CP177" t="s">
        <v>1728</v>
      </c>
      <c r="CQ177" t="s">
        <v>2057</v>
      </c>
      <c r="CR177" t="s">
        <v>2017</v>
      </c>
      <c r="CS177" t="s">
        <v>121</v>
      </c>
    </row>
    <row r="178" spans="1:97" ht="16.149999999999999" customHeight="1" x14ac:dyDescent="0.25">
      <c r="A178" s="16"/>
      <c r="B178" s="16"/>
      <c r="C178" s="16"/>
      <c r="D178" s="16"/>
      <c r="E178" s="16"/>
      <c r="F178" s="16"/>
      <c r="G178" s="17"/>
      <c r="H178" s="17"/>
      <c r="I178" s="17"/>
      <c r="J178" s="17"/>
      <c r="K178" s="18" t="s">
        <v>519</v>
      </c>
      <c r="L178" s="18" t="s">
        <v>520</v>
      </c>
      <c r="M178" s="17"/>
      <c r="N178" s="17"/>
      <c r="O178" s="18" t="s">
        <v>519</v>
      </c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22">
        <v>249</v>
      </c>
      <c r="AO178" s="17"/>
      <c r="AP178" s="17"/>
      <c r="AQ178" s="17"/>
      <c r="AR178" s="17"/>
      <c r="AS178" s="17"/>
      <c r="AT178" s="17"/>
      <c r="AU178" s="17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t="s">
        <v>1911</v>
      </c>
      <c r="CD178" t="s">
        <v>1916</v>
      </c>
      <c r="CE178" t="s">
        <v>1563</v>
      </c>
      <c r="CF178" t="s">
        <v>1729</v>
      </c>
      <c r="CG178" t="s">
        <v>1659</v>
      </c>
      <c r="CH178" t="s">
        <v>1847</v>
      </c>
      <c r="CL178">
        <v>11</v>
      </c>
      <c r="CM178" t="s">
        <v>1662</v>
      </c>
      <c r="CN178">
        <v>2</v>
      </c>
      <c r="CO178" t="s">
        <v>1563</v>
      </c>
      <c r="CP178" t="s">
        <v>1729</v>
      </c>
      <c r="CQ178" t="s">
        <v>1989</v>
      </c>
      <c r="CR178" t="s">
        <v>2018</v>
      </c>
      <c r="CS178" t="s">
        <v>121</v>
      </c>
    </row>
    <row r="179" spans="1:97" ht="16.149999999999999" customHeight="1" x14ac:dyDescent="0.25">
      <c r="A179" s="16"/>
      <c r="B179" s="16"/>
      <c r="C179" s="16"/>
      <c r="D179" s="16"/>
      <c r="E179" s="16"/>
      <c r="F179" s="16"/>
      <c r="G179" s="17"/>
      <c r="H179" s="17"/>
      <c r="I179" s="17"/>
      <c r="J179" s="17"/>
      <c r="K179" s="18" t="s">
        <v>521</v>
      </c>
      <c r="L179" s="18" t="s">
        <v>522</v>
      </c>
      <c r="M179" s="17"/>
      <c r="N179" s="17"/>
      <c r="O179" s="18" t="s">
        <v>521</v>
      </c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22">
        <v>25</v>
      </c>
      <c r="AO179" s="17"/>
      <c r="AP179" s="17"/>
      <c r="AQ179" s="17"/>
      <c r="AR179" s="17"/>
      <c r="AS179" s="17"/>
      <c r="AT179" s="17"/>
      <c r="AU179" s="17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t="s">
        <v>1911</v>
      </c>
      <c r="CD179" t="s">
        <v>102</v>
      </c>
      <c r="CE179" t="s">
        <v>1563</v>
      </c>
      <c r="CF179" t="s">
        <v>49</v>
      </c>
      <c r="CG179" t="s">
        <v>1659</v>
      </c>
      <c r="CH179" t="s">
        <v>1830</v>
      </c>
      <c r="CL179">
        <v>12</v>
      </c>
      <c r="CM179" t="s">
        <v>1663</v>
      </c>
      <c r="CN179">
        <v>2</v>
      </c>
      <c r="CO179" t="s">
        <v>1563</v>
      </c>
      <c r="CP179" t="s">
        <v>49</v>
      </c>
      <c r="CQ179" t="s">
        <v>2011</v>
      </c>
      <c r="CR179" t="s">
        <v>2099</v>
      </c>
      <c r="CS179" t="s">
        <v>121</v>
      </c>
    </row>
    <row r="180" spans="1:97" ht="16.149999999999999" customHeight="1" x14ac:dyDescent="0.25">
      <c r="A180" s="16"/>
      <c r="B180" s="16"/>
      <c r="C180" s="16"/>
      <c r="D180" s="16"/>
      <c r="E180" s="16"/>
      <c r="F180" s="16"/>
      <c r="G180" s="17"/>
      <c r="H180" s="17"/>
      <c r="I180" s="17"/>
      <c r="J180" s="17"/>
      <c r="K180" s="18" t="s">
        <v>523</v>
      </c>
      <c r="L180" s="18" t="s">
        <v>524</v>
      </c>
      <c r="M180" s="17"/>
      <c r="N180" s="17"/>
      <c r="O180" s="18" t="s">
        <v>523</v>
      </c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22">
        <v>250</v>
      </c>
      <c r="AO180" s="17"/>
      <c r="AP180" s="17"/>
      <c r="AQ180" s="17"/>
      <c r="AR180" s="17"/>
      <c r="AS180" s="17"/>
      <c r="AT180" s="17"/>
      <c r="AU180" s="17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t="s">
        <v>1911</v>
      </c>
      <c r="CD180" t="s">
        <v>1793</v>
      </c>
      <c r="CE180" t="s">
        <v>1563</v>
      </c>
      <c r="CF180" t="s">
        <v>50</v>
      </c>
      <c r="CG180" t="s">
        <v>1659</v>
      </c>
      <c r="CH180" t="s">
        <v>1828</v>
      </c>
      <c r="CL180">
        <v>13</v>
      </c>
      <c r="CM180" t="s">
        <v>145</v>
      </c>
      <c r="CN180">
        <v>2</v>
      </c>
      <c r="CO180" t="s">
        <v>1563</v>
      </c>
      <c r="CP180" t="s">
        <v>50</v>
      </c>
      <c r="CQ180" t="s">
        <v>2100</v>
      </c>
      <c r="CR180" t="s">
        <v>2101</v>
      </c>
      <c r="CS180" t="s">
        <v>121</v>
      </c>
    </row>
    <row r="181" spans="1:97" ht="16.149999999999999" customHeight="1" x14ac:dyDescent="0.25">
      <c r="A181" s="16"/>
      <c r="B181" s="16"/>
      <c r="C181" s="16"/>
      <c r="D181" s="16"/>
      <c r="E181" s="16"/>
      <c r="F181" s="16"/>
      <c r="G181" s="17"/>
      <c r="H181" s="17"/>
      <c r="I181" s="17"/>
      <c r="J181" s="17"/>
      <c r="K181" s="18" t="s">
        <v>525</v>
      </c>
      <c r="L181" s="18" t="s">
        <v>526</v>
      </c>
      <c r="M181" s="17"/>
      <c r="N181" s="17"/>
      <c r="O181" s="18" t="s">
        <v>525</v>
      </c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22">
        <v>251</v>
      </c>
      <c r="AO181" s="17"/>
      <c r="AP181" s="17"/>
      <c r="AQ181" s="17"/>
      <c r="AR181" s="17"/>
      <c r="AS181" s="17"/>
      <c r="AT181" s="17"/>
      <c r="AU181" s="17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t="s">
        <v>1911</v>
      </c>
      <c r="CD181" t="s">
        <v>1794</v>
      </c>
      <c r="CE181" t="s">
        <v>1563</v>
      </c>
      <c r="CF181" t="s">
        <v>51</v>
      </c>
      <c r="CG181" t="s">
        <v>1659</v>
      </c>
      <c r="CH181" t="s">
        <v>1836</v>
      </c>
      <c r="CL181">
        <v>14</v>
      </c>
      <c r="CM181" t="s">
        <v>1664</v>
      </c>
      <c r="CN181">
        <v>2</v>
      </c>
      <c r="CO181" t="s">
        <v>1563</v>
      </c>
      <c r="CP181" t="s">
        <v>51</v>
      </c>
      <c r="CQ181" t="s">
        <v>2102</v>
      </c>
      <c r="CR181" t="s">
        <v>2103</v>
      </c>
      <c r="CS181" t="s">
        <v>121</v>
      </c>
    </row>
    <row r="182" spans="1:97" ht="16.149999999999999" customHeight="1" x14ac:dyDescent="0.25">
      <c r="A182" s="16"/>
      <c r="B182" s="16"/>
      <c r="C182" s="16"/>
      <c r="D182" s="16"/>
      <c r="E182" s="16"/>
      <c r="F182" s="16"/>
      <c r="G182" s="17"/>
      <c r="H182" s="17"/>
      <c r="I182" s="17"/>
      <c r="J182" s="17"/>
      <c r="K182" s="18" t="s">
        <v>527</v>
      </c>
      <c r="L182" s="18" t="s">
        <v>528</v>
      </c>
      <c r="M182" s="17"/>
      <c r="N182" s="17"/>
      <c r="O182" s="18" t="s">
        <v>527</v>
      </c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22">
        <v>252</v>
      </c>
      <c r="AO182" s="17"/>
      <c r="AP182" s="17"/>
      <c r="AQ182" s="17"/>
      <c r="AR182" s="17"/>
      <c r="AS182" s="17"/>
      <c r="AT182" s="17"/>
      <c r="AU182" s="17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t="s">
        <v>1911</v>
      </c>
      <c r="CD182" t="s">
        <v>1795</v>
      </c>
      <c r="CE182" t="s">
        <v>1563</v>
      </c>
      <c r="CF182" t="s">
        <v>52</v>
      </c>
      <c r="CG182" t="s">
        <v>1664</v>
      </c>
      <c r="CH182" t="s">
        <v>1917</v>
      </c>
      <c r="CL182">
        <v>15</v>
      </c>
      <c r="CM182" t="s">
        <v>1665</v>
      </c>
      <c r="CN182">
        <v>2</v>
      </c>
      <c r="CO182" t="s">
        <v>1563</v>
      </c>
      <c r="CP182" t="s">
        <v>52</v>
      </c>
      <c r="CQ182" t="s">
        <v>2104</v>
      </c>
      <c r="CR182" t="s">
        <v>2105</v>
      </c>
      <c r="CS182" t="s">
        <v>121</v>
      </c>
    </row>
    <row r="183" spans="1:97" ht="16.149999999999999" customHeight="1" x14ac:dyDescent="0.25">
      <c r="A183" s="16"/>
      <c r="B183" s="16"/>
      <c r="C183" s="16"/>
      <c r="D183" s="16"/>
      <c r="E183" s="16"/>
      <c r="F183" s="16"/>
      <c r="G183" s="17"/>
      <c r="H183" s="17"/>
      <c r="I183" s="17"/>
      <c r="J183" s="17"/>
      <c r="K183" s="18" t="s">
        <v>529</v>
      </c>
      <c r="L183" s="18" t="s">
        <v>530</v>
      </c>
      <c r="M183" s="17"/>
      <c r="N183" s="17"/>
      <c r="O183" s="18" t="s">
        <v>529</v>
      </c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22">
        <v>253</v>
      </c>
      <c r="AO183" s="17"/>
      <c r="AP183" s="17"/>
      <c r="AQ183" s="17"/>
      <c r="AR183" s="17"/>
      <c r="AS183" s="17"/>
      <c r="AT183" s="17"/>
      <c r="AU183" s="17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t="s">
        <v>1911</v>
      </c>
      <c r="CD183" t="s">
        <v>103</v>
      </c>
      <c r="CE183" t="s">
        <v>1563</v>
      </c>
      <c r="CF183" t="s">
        <v>53</v>
      </c>
      <c r="CG183" t="s">
        <v>1664</v>
      </c>
      <c r="CH183" t="s">
        <v>1918</v>
      </c>
      <c r="CL183">
        <v>16</v>
      </c>
      <c r="CM183" t="s">
        <v>1666</v>
      </c>
      <c r="CN183">
        <v>2</v>
      </c>
      <c r="CO183" t="s">
        <v>1563</v>
      </c>
      <c r="CP183" t="s">
        <v>53</v>
      </c>
      <c r="CQ183" t="s">
        <v>1976</v>
      </c>
      <c r="CR183" t="s">
        <v>2106</v>
      </c>
      <c r="CS183" t="s">
        <v>121</v>
      </c>
    </row>
    <row r="184" spans="1:97" ht="16.149999999999999" customHeight="1" x14ac:dyDescent="0.25">
      <c r="A184" s="16"/>
      <c r="B184" s="16"/>
      <c r="C184" s="16"/>
      <c r="D184" s="16"/>
      <c r="E184" s="16"/>
      <c r="F184" s="16"/>
      <c r="G184" s="17"/>
      <c r="H184" s="17"/>
      <c r="I184" s="17"/>
      <c r="J184" s="17"/>
      <c r="K184" s="18" t="s">
        <v>531</v>
      </c>
      <c r="L184" s="18" t="s">
        <v>532</v>
      </c>
      <c r="M184" s="17"/>
      <c r="N184" s="17"/>
      <c r="O184" s="18" t="s">
        <v>531</v>
      </c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22">
        <v>254</v>
      </c>
      <c r="AO184" s="17"/>
      <c r="AP184" s="17"/>
      <c r="AQ184" s="17"/>
      <c r="AR184" s="17"/>
      <c r="AS184" s="17"/>
      <c r="AT184" s="17"/>
      <c r="AU184" s="17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t="s">
        <v>1911</v>
      </c>
      <c r="CD184" t="s">
        <v>104</v>
      </c>
      <c r="CE184" t="s">
        <v>1563</v>
      </c>
      <c r="CF184" t="s">
        <v>54</v>
      </c>
      <c r="CG184" t="s">
        <v>1659</v>
      </c>
      <c r="CH184" t="s">
        <v>1919</v>
      </c>
      <c r="CL184">
        <v>17</v>
      </c>
      <c r="CM184" t="s">
        <v>1667</v>
      </c>
      <c r="CN184">
        <v>2</v>
      </c>
      <c r="CO184" t="s">
        <v>1563</v>
      </c>
      <c r="CP184" t="s">
        <v>54</v>
      </c>
      <c r="CQ184" t="s">
        <v>2011</v>
      </c>
      <c r="CR184" t="s">
        <v>2107</v>
      </c>
      <c r="CS184" t="s">
        <v>121</v>
      </c>
    </row>
    <row r="185" spans="1:97" ht="16.149999999999999" customHeight="1" x14ac:dyDescent="0.25">
      <c r="A185" s="16"/>
      <c r="B185" s="16"/>
      <c r="C185" s="16"/>
      <c r="D185" s="16"/>
      <c r="E185" s="16"/>
      <c r="F185" s="16"/>
      <c r="G185" s="17"/>
      <c r="H185" s="17"/>
      <c r="I185" s="17"/>
      <c r="J185" s="17"/>
      <c r="K185" s="18" t="s">
        <v>533</v>
      </c>
      <c r="L185" s="18" t="s">
        <v>534</v>
      </c>
      <c r="M185" s="17"/>
      <c r="N185" s="17"/>
      <c r="O185" s="18" t="s">
        <v>533</v>
      </c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22">
        <v>255</v>
      </c>
      <c r="AO185" s="17"/>
      <c r="AP185" s="17"/>
      <c r="AQ185" s="17"/>
      <c r="AR185" s="17"/>
      <c r="AS185" s="17"/>
      <c r="AT185" s="17"/>
      <c r="AU185" s="17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t="s">
        <v>1911</v>
      </c>
      <c r="CD185" t="s">
        <v>105</v>
      </c>
      <c r="CE185" t="s">
        <v>1563</v>
      </c>
      <c r="CF185" t="s">
        <v>55</v>
      </c>
      <c r="CG185" t="s">
        <v>1664</v>
      </c>
      <c r="CH185" t="s">
        <v>1920</v>
      </c>
      <c r="CL185">
        <v>18</v>
      </c>
      <c r="CM185" t="s">
        <v>1668</v>
      </c>
      <c r="CN185">
        <v>2</v>
      </c>
      <c r="CO185" t="s">
        <v>1563</v>
      </c>
      <c r="CP185" t="s">
        <v>55</v>
      </c>
      <c r="CQ185" t="s">
        <v>1976</v>
      </c>
      <c r="CR185" t="s">
        <v>2108</v>
      </c>
      <c r="CS185" t="s">
        <v>121</v>
      </c>
    </row>
    <row r="186" spans="1:97" ht="16.149999999999999" customHeight="1" x14ac:dyDescent="0.25">
      <c r="A186" s="16"/>
      <c r="B186" s="16"/>
      <c r="C186" s="16"/>
      <c r="D186" s="16"/>
      <c r="E186" s="16"/>
      <c r="F186" s="16"/>
      <c r="G186" s="17"/>
      <c r="H186" s="17"/>
      <c r="I186" s="17"/>
      <c r="J186" s="17"/>
      <c r="K186" s="18" t="s">
        <v>535</v>
      </c>
      <c r="L186" s="18" t="s">
        <v>536</v>
      </c>
      <c r="M186" s="17"/>
      <c r="N186" s="17"/>
      <c r="O186" s="18" t="s">
        <v>535</v>
      </c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22">
        <v>256</v>
      </c>
      <c r="AO186" s="17"/>
      <c r="AP186" s="17"/>
      <c r="AQ186" s="17"/>
      <c r="AR186" s="17"/>
      <c r="AS186" s="17"/>
      <c r="AT186" s="17"/>
      <c r="AU186" s="17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t="s">
        <v>1911</v>
      </c>
      <c r="CD186" t="s">
        <v>1796</v>
      </c>
      <c r="CE186" t="s">
        <v>1563</v>
      </c>
      <c r="CF186" t="s">
        <v>56</v>
      </c>
      <c r="CG186" t="s">
        <v>1664</v>
      </c>
      <c r="CH186" t="s">
        <v>1854</v>
      </c>
      <c r="CL186">
        <v>19</v>
      </c>
      <c r="CM186" t="s">
        <v>1669</v>
      </c>
      <c r="CN186">
        <v>2</v>
      </c>
      <c r="CO186" t="s">
        <v>1563</v>
      </c>
      <c r="CP186" t="s">
        <v>56</v>
      </c>
      <c r="CQ186" t="s">
        <v>2004</v>
      </c>
      <c r="CR186" t="s">
        <v>2109</v>
      </c>
      <c r="CS186" t="s">
        <v>121</v>
      </c>
    </row>
    <row r="187" spans="1:97" ht="16.149999999999999" customHeight="1" x14ac:dyDescent="0.25">
      <c r="A187" s="16"/>
      <c r="B187" s="16"/>
      <c r="C187" s="16"/>
      <c r="D187" s="16"/>
      <c r="E187" s="16"/>
      <c r="F187" s="16"/>
      <c r="G187" s="17"/>
      <c r="H187" s="17"/>
      <c r="I187" s="17"/>
      <c r="J187" s="17"/>
      <c r="K187" s="18" t="s">
        <v>537</v>
      </c>
      <c r="L187" s="18" t="s">
        <v>538</v>
      </c>
      <c r="M187" s="17"/>
      <c r="N187" s="17"/>
      <c r="O187" s="18" t="s">
        <v>537</v>
      </c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22">
        <v>257</v>
      </c>
      <c r="AO187" s="17"/>
      <c r="AP187" s="17"/>
      <c r="AQ187" s="17"/>
      <c r="AR187" s="17"/>
      <c r="AS187" s="17"/>
      <c r="AT187" s="17"/>
      <c r="AU187" s="17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t="s">
        <v>1911</v>
      </c>
      <c r="CD187" t="s">
        <v>1797</v>
      </c>
      <c r="CE187" t="s">
        <v>1563</v>
      </c>
      <c r="CF187" t="s">
        <v>57</v>
      </c>
      <c r="CG187" t="s">
        <v>1664</v>
      </c>
      <c r="CH187" t="s">
        <v>1920</v>
      </c>
      <c r="CL187">
        <v>20</v>
      </c>
      <c r="CM187" t="s">
        <v>1670</v>
      </c>
      <c r="CN187">
        <v>2</v>
      </c>
      <c r="CO187" t="s">
        <v>1563</v>
      </c>
      <c r="CP187" t="s">
        <v>57</v>
      </c>
      <c r="CQ187" t="s">
        <v>2110</v>
      </c>
      <c r="CR187" t="s">
        <v>2111</v>
      </c>
      <c r="CS187" t="s">
        <v>121</v>
      </c>
    </row>
    <row r="188" spans="1:97" ht="16.149999999999999" customHeight="1" x14ac:dyDescent="0.25">
      <c r="A188" s="16"/>
      <c r="B188" s="16"/>
      <c r="C188" s="16"/>
      <c r="D188" s="16"/>
      <c r="E188" s="16"/>
      <c r="F188" s="16"/>
      <c r="G188" s="17"/>
      <c r="H188" s="17"/>
      <c r="I188" s="17"/>
      <c r="J188" s="17"/>
      <c r="K188" s="18" t="s">
        <v>539</v>
      </c>
      <c r="L188" s="18" t="s">
        <v>540</v>
      </c>
      <c r="M188" s="17"/>
      <c r="N188" s="17"/>
      <c r="O188" s="18" t="s">
        <v>539</v>
      </c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22">
        <v>26</v>
      </c>
      <c r="AO188" s="17"/>
      <c r="AP188" s="17"/>
      <c r="AQ188" s="17"/>
      <c r="AR188" s="17"/>
      <c r="AS188" s="17"/>
      <c r="AT188" s="17"/>
      <c r="AU188" s="17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t="s">
        <v>1911</v>
      </c>
      <c r="CD188" t="s">
        <v>106</v>
      </c>
      <c r="CE188" t="s">
        <v>1563</v>
      </c>
      <c r="CF188" t="s">
        <v>21</v>
      </c>
      <c r="CG188" t="s">
        <v>1659</v>
      </c>
      <c r="CH188" t="s">
        <v>1827</v>
      </c>
      <c r="CL188">
        <v>21</v>
      </c>
      <c r="CM188" t="s">
        <v>1671</v>
      </c>
      <c r="CN188">
        <v>2</v>
      </c>
      <c r="CO188" t="s">
        <v>1563</v>
      </c>
      <c r="CP188" t="s">
        <v>21</v>
      </c>
      <c r="CQ188" t="s">
        <v>1942</v>
      </c>
      <c r="CR188" t="s">
        <v>2112</v>
      </c>
      <c r="CS188" t="s">
        <v>121</v>
      </c>
    </row>
    <row r="189" spans="1:97" ht="16.149999999999999" customHeight="1" x14ac:dyDescent="0.25">
      <c r="A189" s="16"/>
      <c r="B189" s="16"/>
      <c r="C189" s="16"/>
      <c r="D189" s="16"/>
      <c r="E189" s="16"/>
      <c r="F189" s="16"/>
      <c r="G189" s="17"/>
      <c r="H189" s="17"/>
      <c r="I189" s="17"/>
      <c r="J189" s="17"/>
      <c r="K189" s="18" t="s">
        <v>541</v>
      </c>
      <c r="L189" s="18" t="s">
        <v>542</v>
      </c>
      <c r="M189" s="17"/>
      <c r="N189" s="17"/>
      <c r="O189" s="18" t="s">
        <v>541</v>
      </c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22">
        <v>27</v>
      </c>
      <c r="AO189" s="17"/>
      <c r="AP189" s="17"/>
      <c r="AQ189" s="17"/>
      <c r="AR189" s="17"/>
      <c r="AS189" s="17"/>
      <c r="AT189" s="17"/>
      <c r="AU189" s="17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t="s">
        <v>1911</v>
      </c>
      <c r="CD189" t="s">
        <v>1798</v>
      </c>
      <c r="CE189" t="s">
        <v>1563</v>
      </c>
      <c r="CF189" t="s">
        <v>22</v>
      </c>
      <c r="CG189" t="s">
        <v>1659</v>
      </c>
      <c r="CH189" t="s">
        <v>1921</v>
      </c>
      <c r="CL189">
        <v>22</v>
      </c>
      <c r="CM189" t="s">
        <v>1672</v>
      </c>
      <c r="CN189">
        <v>2</v>
      </c>
      <c r="CO189" t="s">
        <v>1563</v>
      </c>
      <c r="CP189" t="s">
        <v>22</v>
      </c>
      <c r="CQ189" t="s">
        <v>1948</v>
      </c>
      <c r="CR189" t="s">
        <v>2113</v>
      </c>
      <c r="CS189" t="s">
        <v>121</v>
      </c>
    </row>
    <row r="190" spans="1:97" ht="16.149999999999999" customHeight="1" x14ac:dyDescent="0.25">
      <c r="A190" s="16"/>
      <c r="B190" s="16"/>
      <c r="C190" s="16"/>
      <c r="D190" s="16"/>
      <c r="E190" s="16"/>
      <c r="F190" s="16"/>
      <c r="G190" s="17"/>
      <c r="H190" s="17"/>
      <c r="I190" s="17"/>
      <c r="J190" s="17"/>
      <c r="K190" s="18" t="s">
        <v>543</v>
      </c>
      <c r="L190" s="18" t="s">
        <v>544</v>
      </c>
      <c r="M190" s="17"/>
      <c r="N190" s="17"/>
      <c r="O190" s="18" t="s">
        <v>543</v>
      </c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22">
        <v>28</v>
      </c>
      <c r="AO190" s="17"/>
      <c r="AP190" s="17"/>
      <c r="AQ190" s="17"/>
      <c r="AR190" s="17"/>
      <c r="AS190" s="17"/>
      <c r="AT190" s="17"/>
      <c r="AU190" s="17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t="s">
        <v>1911</v>
      </c>
      <c r="CD190" t="s">
        <v>1799</v>
      </c>
      <c r="CE190" t="s">
        <v>1563</v>
      </c>
      <c r="CF190" t="s">
        <v>58</v>
      </c>
      <c r="CG190" t="s">
        <v>1664</v>
      </c>
      <c r="CH190" t="s">
        <v>1853</v>
      </c>
      <c r="CL190">
        <v>23</v>
      </c>
      <c r="CM190" t="s">
        <v>1673</v>
      </c>
      <c r="CN190">
        <v>2</v>
      </c>
      <c r="CO190" t="s">
        <v>1563</v>
      </c>
      <c r="CP190" t="s">
        <v>58</v>
      </c>
      <c r="CQ190" t="s">
        <v>2114</v>
      </c>
      <c r="CR190" t="s">
        <v>2115</v>
      </c>
      <c r="CS190" t="s">
        <v>121</v>
      </c>
    </row>
    <row r="191" spans="1:97" ht="16.149999999999999" customHeight="1" x14ac:dyDescent="0.25">
      <c r="A191" s="16"/>
      <c r="B191" s="16"/>
      <c r="C191" s="16"/>
      <c r="D191" s="16"/>
      <c r="E191" s="16"/>
      <c r="F191" s="16"/>
      <c r="G191" s="17"/>
      <c r="H191" s="17"/>
      <c r="I191" s="17"/>
      <c r="J191" s="17"/>
      <c r="K191" s="18" t="s">
        <v>545</v>
      </c>
      <c r="L191" s="18" t="s">
        <v>546</v>
      </c>
      <c r="M191" s="17"/>
      <c r="N191" s="17"/>
      <c r="O191" s="18" t="s">
        <v>545</v>
      </c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22">
        <v>29</v>
      </c>
      <c r="AO191" s="17"/>
      <c r="AP191" s="17"/>
      <c r="AQ191" s="17"/>
      <c r="AR191" s="17"/>
      <c r="AS191" s="17"/>
      <c r="AT191" s="17"/>
      <c r="AU191" s="17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t="s">
        <v>1911</v>
      </c>
      <c r="CD191" t="s">
        <v>1922</v>
      </c>
      <c r="CE191" t="s">
        <v>1563</v>
      </c>
      <c r="CF191" t="s">
        <v>1731</v>
      </c>
      <c r="CG191" t="s">
        <v>1664</v>
      </c>
      <c r="CH191" t="s">
        <v>1923</v>
      </c>
      <c r="CL191">
        <v>24</v>
      </c>
      <c r="CM191" t="s">
        <v>1674</v>
      </c>
      <c r="CN191">
        <v>2</v>
      </c>
      <c r="CO191" t="s">
        <v>1563</v>
      </c>
      <c r="CP191" t="s">
        <v>1731</v>
      </c>
      <c r="CQ191" t="s">
        <v>2116</v>
      </c>
      <c r="CR191" t="s">
        <v>2117</v>
      </c>
      <c r="CS191" t="s">
        <v>121</v>
      </c>
    </row>
    <row r="192" spans="1:97" ht="16.149999999999999" customHeight="1" x14ac:dyDescent="0.25">
      <c r="A192" s="16"/>
      <c r="B192" s="16"/>
      <c r="C192" s="16"/>
      <c r="D192" s="16"/>
      <c r="E192" s="16"/>
      <c r="F192" s="16"/>
      <c r="G192" s="17"/>
      <c r="H192" s="17"/>
      <c r="I192" s="17"/>
      <c r="J192" s="17"/>
      <c r="K192" s="18" t="s">
        <v>547</v>
      </c>
      <c r="L192" s="18" t="s">
        <v>548</v>
      </c>
      <c r="M192" s="17"/>
      <c r="N192" s="17"/>
      <c r="O192" s="18" t="s">
        <v>547</v>
      </c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22">
        <v>3</v>
      </c>
      <c r="AO192" s="17"/>
      <c r="AP192" s="17"/>
      <c r="AQ192" s="17"/>
      <c r="AR192" s="17"/>
      <c r="AS192" s="17"/>
      <c r="AT192" s="17"/>
      <c r="AU192" s="17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t="s">
        <v>1911</v>
      </c>
      <c r="CD192" t="s">
        <v>1800</v>
      </c>
      <c r="CE192" t="s">
        <v>1563</v>
      </c>
      <c r="CF192" t="s">
        <v>23</v>
      </c>
      <c r="CG192" t="s">
        <v>1664</v>
      </c>
      <c r="CH192" t="s">
        <v>1853</v>
      </c>
      <c r="CL192">
        <v>25</v>
      </c>
      <c r="CM192" t="s">
        <v>1675</v>
      </c>
      <c r="CN192">
        <v>2</v>
      </c>
      <c r="CO192" t="s">
        <v>1563</v>
      </c>
      <c r="CP192" t="s">
        <v>23</v>
      </c>
      <c r="CQ192" t="s">
        <v>2114</v>
      </c>
      <c r="CR192" t="s">
        <v>2118</v>
      </c>
      <c r="CS192" t="s">
        <v>121</v>
      </c>
    </row>
    <row r="193" spans="1:97" ht="16.149999999999999" customHeight="1" x14ac:dyDescent="0.25">
      <c r="A193" s="16"/>
      <c r="B193" s="16"/>
      <c r="C193" s="16"/>
      <c r="D193" s="16"/>
      <c r="E193" s="16"/>
      <c r="F193" s="16"/>
      <c r="G193" s="17"/>
      <c r="H193" s="17"/>
      <c r="I193" s="17"/>
      <c r="J193" s="17"/>
      <c r="K193" s="18" t="s">
        <v>549</v>
      </c>
      <c r="L193" s="18" t="s">
        <v>550</v>
      </c>
      <c r="M193" s="17"/>
      <c r="N193" s="17"/>
      <c r="O193" s="18" t="s">
        <v>549</v>
      </c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22">
        <v>30</v>
      </c>
      <c r="AO193" s="17"/>
      <c r="AP193" s="17"/>
      <c r="AQ193" s="17"/>
      <c r="AR193" s="17"/>
      <c r="AS193" s="17"/>
      <c r="AT193" s="17"/>
      <c r="AU193" s="17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t="s">
        <v>1911</v>
      </c>
      <c r="CD193" t="s">
        <v>107</v>
      </c>
      <c r="CE193" t="s">
        <v>1563</v>
      </c>
      <c r="CF193" t="s">
        <v>24</v>
      </c>
      <c r="CG193" t="s">
        <v>1659</v>
      </c>
      <c r="CH193" t="s">
        <v>1830</v>
      </c>
      <c r="CL193">
        <v>26</v>
      </c>
      <c r="CM193" t="s">
        <v>1687</v>
      </c>
      <c r="CN193">
        <v>2</v>
      </c>
      <c r="CO193" t="s">
        <v>1563</v>
      </c>
      <c r="CP193" t="s">
        <v>24</v>
      </c>
      <c r="CQ193" t="s">
        <v>2011</v>
      </c>
      <c r="CR193" t="s">
        <v>2119</v>
      </c>
      <c r="CS193" t="s">
        <v>121</v>
      </c>
    </row>
    <row r="194" spans="1:97" ht="16.149999999999999" customHeight="1" x14ac:dyDescent="0.25">
      <c r="A194" s="16"/>
      <c r="B194" s="16"/>
      <c r="C194" s="16"/>
      <c r="D194" s="16"/>
      <c r="E194" s="16"/>
      <c r="F194" s="16"/>
      <c r="G194" s="17"/>
      <c r="H194" s="17"/>
      <c r="I194" s="17"/>
      <c r="J194" s="17"/>
      <c r="K194" s="18" t="s">
        <v>551</v>
      </c>
      <c r="L194" s="18" t="s">
        <v>552</v>
      </c>
      <c r="M194" s="17"/>
      <c r="N194" s="17"/>
      <c r="O194" s="18" t="s">
        <v>551</v>
      </c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22">
        <v>31</v>
      </c>
      <c r="AO194" s="17"/>
      <c r="AP194" s="17"/>
      <c r="AQ194" s="17"/>
      <c r="AR194" s="17"/>
      <c r="AS194" s="17"/>
      <c r="AT194" s="17"/>
      <c r="AU194" s="17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t="s">
        <v>1911</v>
      </c>
      <c r="CD194" t="s">
        <v>1801</v>
      </c>
      <c r="CE194" t="s">
        <v>1563</v>
      </c>
      <c r="CF194" t="s">
        <v>25</v>
      </c>
      <c r="CG194" t="s">
        <v>1664</v>
      </c>
      <c r="CH194" t="s">
        <v>1854</v>
      </c>
      <c r="CL194">
        <v>27</v>
      </c>
      <c r="CM194" t="s">
        <v>1688</v>
      </c>
      <c r="CN194">
        <v>2</v>
      </c>
      <c r="CO194" t="s">
        <v>1563</v>
      </c>
      <c r="CP194" t="s">
        <v>25</v>
      </c>
      <c r="CQ194" t="s">
        <v>2004</v>
      </c>
      <c r="CR194" t="s">
        <v>2120</v>
      </c>
      <c r="CS194" t="s">
        <v>121</v>
      </c>
    </row>
    <row r="195" spans="1:97" ht="16.149999999999999" customHeight="1" x14ac:dyDescent="0.25">
      <c r="A195" s="16"/>
      <c r="B195" s="16"/>
      <c r="C195" s="16"/>
      <c r="D195" s="16"/>
      <c r="E195" s="16"/>
      <c r="F195" s="16"/>
      <c r="G195" s="17"/>
      <c r="H195" s="17"/>
      <c r="I195" s="17"/>
      <c r="J195" s="17"/>
      <c r="K195" s="18" t="s">
        <v>553</v>
      </c>
      <c r="L195" s="18" t="s">
        <v>554</v>
      </c>
      <c r="M195" s="17"/>
      <c r="N195" s="17"/>
      <c r="O195" s="18" t="s">
        <v>553</v>
      </c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22">
        <v>32</v>
      </c>
      <c r="AO195" s="17"/>
      <c r="AP195" s="17"/>
      <c r="AQ195" s="17"/>
      <c r="AR195" s="17"/>
      <c r="AS195" s="17"/>
      <c r="AT195" s="17"/>
      <c r="AU195" s="17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t="s">
        <v>1911</v>
      </c>
      <c r="CD195" t="s">
        <v>1802</v>
      </c>
      <c r="CE195" t="s">
        <v>1563</v>
      </c>
      <c r="CF195" t="s">
        <v>26</v>
      </c>
      <c r="CG195" t="s">
        <v>1659</v>
      </c>
      <c r="CH195" t="s">
        <v>1826</v>
      </c>
      <c r="CL195">
        <v>28</v>
      </c>
      <c r="CM195" t="s">
        <v>1689</v>
      </c>
      <c r="CN195">
        <v>2</v>
      </c>
      <c r="CO195" t="s">
        <v>1563</v>
      </c>
      <c r="CP195" t="s">
        <v>26</v>
      </c>
      <c r="CQ195" t="s">
        <v>2047</v>
      </c>
      <c r="CR195" t="s">
        <v>2121</v>
      </c>
      <c r="CS195" t="s">
        <v>121</v>
      </c>
    </row>
    <row r="196" spans="1:97" ht="16.149999999999999" customHeight="1" x14ac:dyDescent="0.25">
      <c r="A196" s="16"/>
      <c r="B196" s="16"/>
      <c r="C196" s="16"/>
      <c r="D196" s="16"/>
      <c r="E196" s="16"/>
      <c r="F196" s="16"/>
      <c r="G196" s="17"/>
      <c r="H196" s="17"/>
      <c r="I196" s="17"/>
      <c r="J196" s="17"/>
      <c r="K196" s="18" t="s">
        <v>555</v>
      </c>
      <c r="L196" s="18" t="s">
        <v>556</v>
      </c>
      <c r="M196" s="17"/>
      <c r="N196" s="17"/>
      <c r="O196" s="18" t="s">
        <v>555</v>
      </c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22">
        <v>33</v>
      </c>
      <c r="AO196" s="17"/>
      <c r="AP196" s="17"/>
      <c r="AQ196" s="17"/>
      <c r="AR196" s="17"/>
      <c r="AS196" s="17"/>
      <c r="AT196" s="17"/>
      <c r="AU196" s="17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t="s">
        <v>1911</v>
      </c>
      <c r="CD196" t="s">
        <v>1924</v>
      </c>
      <c r="CE196" t="s">
        <v>1563</v>
      </c>
      <c r="CF196" t="s">
        <v>1717</v>
      </c>
      <c r="CG196" t="s">
        <v>1659</v>
      </c>
      <c r="CH196" t="s">
        <v>1849</v>
      </c>
      <c r="CL196">
        <v>29</v>
      </c>
      <c r="CM196" t="s">
        <v>1690</v>
      </c>
      <c r="CN196">
        <v>2</v>
      </c>
      <c r="CO196" t="s">
        <v>1563</v>
      </c>
      <c r="CP196" t="s">
        <v>1717</v>
      </c>
      <c r="CQ196" t="s">
        <v>2008</v>
      </c>
      <c r="CR196" t="s">
        <v>2122</v>
      </c>
      <c r="CS196" t="s">
        <v>121</v>
      </c>
    </row>
    <row r="197" spans="1:97" ht="16.149999999999999" customHeight="1" x14ac:dyDescent="0.25">
      <c r="A197" s="16"/>
      <c r="B197" s="16"/>
      <c r="C197" s="16"/>
      <c r="D197" s="16"/>
      <c r="E197" s="16"/>
      <c r="F197" s="16"/>
      <c r="G197" s="17"/>
      <c r="H197" s="17"/>
      <c r="I197" s="17"/>
      <c r="J197" s="17"/>
      <c r="K197" s="18" t="s">
        <v>557</v>
      </c>
      <c r="L197" s="18" t="s">
        <v>558</v>
      </c>
      <c r="M197" s="17"/>
      <c r="N197" s="17"/>
      <c r="O197" s="18" t="s">
        <v>557</v>
      </c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22">
        <v>34</v>
      </c>
      <c r="AO197" s="17"/>
      <c r="AP197" s="17"/>
      <c r="AQ197" s="17"/>
      <c r="AR197" s="17"/>
      <c r="AS197" s="17"/>
      <c r="AT197" s="17"/>
      <c r="AU197" s="17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t="s">
        <v>1911</v>
      </c>
      <c r="CD197" t="s">
        <v>1803</v>
      </c>
      <c r="CE197" t="s">
        <v>1563</v>
      </c>
      <c r="CF197" t="s">
        <v>1552</v>
      </c>
      <c r="CG197" t="s">
        <v>1664</v>
      </c>
      <c r="CH197" t="s">
        <v>1835</v>
      </c>
      <c r="CL197">
        <v>30</v>
      </c>
      <c r="CM197" t="s">
        <v>1691</v>
      </c>
      <c r="CN197">
        <v>2</v>
      </c>
      <c r="CO197" t="s">
        <v>1563</v>
      </c>
      <c r="CP197" t="s">
        <v>1552</v>
      </c>
      <c r="CQ197" t="s">
        <v>1962</v>
      </c>
      <c r="CR197" t="s">
        <v>2123</v>
      </c>
      <c r="CS197" t="s">
        <v>121</v>
      </c>
    </row>
    <row r="198" spans="1:97" ht="16.149999999999999" customHeight="1" x14ac:dyDescent="0.25">
      <c r="A198" s="16"/>
      <c r="B198" s="16"/>
      <c r="C198" s="16"/>
      <c r="D198" s="16"/>
      <c r="E198" s="16"/>
      <c r="F198" s="16"/>
      <c r="G198" s="17"/>
      <c r="H198" s="17"/>
      <c r="I198" s="17"/>
      <c r="J198" s="17"/>
      <c r="K198" s="18" t="s">
        <v>559</v>
      </c>
      <c r="L198" s="18" t="s">
        <v>560</v>
      </c>
      <c r="M198" s="17"/>
      <c r="N198" s="17"/>
      <c r="O198" s="18" t="s">
        <v>559</v>
      </c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22">
        <v>35</v>
      </c>
      <c r="AO198" s="17"/>
      <c r="AP198" s="17"/>
      <c r="AQ198" s="17"/>
      <c r="AR198" s="17"/>
      <c r="AS198" s="17"/>
      <c r="AT198" s="17"/>
      <c r="AU198" s="17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t="s">
        <v>1925</v>
      </c>
      <c r="CE198" t="s">
        <v>1564</v>
      </c>
      <c r="CF198" t="s">
        <v>1572</v>
      </c>
      <c r="CL198">
        <v>1</v>
      </c>
      <c r="CM198" t="s">
        <v>1936</v>
      </c>
      <c r="CN198">
        <v>2</v>
      </c>
      <c r="CO198" t="s">
        <v>1564</v>
      </c>
      <c r="CP198" t="s">
        <v>1572</v>
      </c>
      <c r="CQ198" t="s">
        <v>121</v>
      </c>
      <c r="CR198" t="s">
        <v>121</v>
      </c>
      <c r="CS198" t="s">
        <v>121</v>
      </c>
    </row>
    <row r="199" spans="1:97" ht="16.149999999999999" customHeight="1" x14ac:dyDescent="0.25">
      <c r="A199" s="16"/>
      <c r="B199" s="16"/>
      <c r="C199" s="16"/>
      <c r="D199" s="16"/>
      <c r="E199" s="16"/>
      <c r="F199" s="16"/>
      <c r="G199" s="17"/>
      <c r="H199" s="17"/>
      <c r="I199" s="17"/>
      <c r="J199" s="17"/>
      <c r="K199" s="18" t="s">
        <v>561</v>
      </c>
      <c r="L199" s="18" t="s">
        <v>562</v>
      </c>
      <c r="M199" s="17"/>
      <c r="N199" s="17"/>
      <c r="O199" s="18" t="s">
        <v>561</v>
      </c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22">
        <v>36</v>
      </c>
      <c r="AO199" s="17"/>
      <c r="AP199" s="17"/>
      <c r="AQ199" s="17"/>
      <c r="AR199" s="17"/>
      <c r="AS199" s="17"/>
      <c r="AT199" s="17"/>
      <c r="AU199" s="17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t="s">
        <v>1925</v>
      </c>
      <c r="CE199" t="s">
        <v>1564</v>
      </c>
      <c r="CF199" t="s">
        <v>1571</v>
      </c>
      <c r="CL199">
        <v>2</v>
      </c>
      <c r="CM199" t="s">
        <v>1939</v>
      </c>
      <c r="CN199">
        <v>2</v>
      </c>
      <c r="CO199" t="s">
        <v>1564</v>
      </c>
      <c r="CP199" t="s">
        <v>1571</v>
      </c>
      <c r="CQ199" t="s">
        <v>1964</v>
      </c>
      <c r="CR199" t="s">
        <v>1965</v>
      </c>
      <c r="CS199" t="s">
        <v>121</v>
      </c>
    </row>
    <row r="200" spans="1:97" ht="16.149999999999999" customHeight="1" x14ac:dyDescent="0.25">
      <c r="A200" s="16"/>
      <c r="B200" s="16"/>
      <c r="C200" s="16"/>
      <c r="D200" s="16"/>
      <c r="E200" s="16"/>
      <c r="F200" s="16"/>
      <c r="G200" s="17"/>
      <c r="H200" s="17"/>
      <c r="I200" s="17"/>
      <c r="J200" s="17"/>
      <c r="K200" s="18" t="s">
        <v>563</v>
      </c>
      <c r="L200" s="18" t="s">
        <v>564</v>
      </c>
      <c r="M200" s="17"/>
      <c r="N200" s="17"/>
      <c r="O200" s="18" t="s">
        <v>563</v>
      </c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22">
        <v>37</v>
      </c>
      <c r="AO200" s="17"/>
      <c r="AP200" s="17"/>
      <c r="AQ200" s="17"/>
      <c r="AR200" s="17"/>
      <c r="AS200" s="17"/>
      <c r="AT200" s="17"/>
      <c r="AU200" s="17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t="s">
        <v>1925</v>
      </c>
      <c r="CD200" t="s">
        <v>1804</v>
      </c>
      <c r="CE200" t="s">
        <v>1564</v>
      </c>
      <c r="CF200" t="s">
        <v>27</v>
      </c>
      <c r="CG200" t="s">
        <v>1659</v>
      </c>
      <c r="CH200" t="s">
        <v>1912</v>
      </c>
      <c r="CL200">
        <v>3</v>
      </c>
      <c r="CM200" t="s">
        <v>1659</v>
      </c>
      <c r="CN200">
        <v>2</v>
      </c>
      <c r="CO200" t="s">
        <v>1564</v>
      </c>
      <c r="CP200" t="s">
        <v>27</v>
      </c>
      <c r="CQ200" t="s">
        <v>1966</v>
      </c>
      <c r="CR200" t="s">
        <v>1967</v>
      </c>
      <c r="CS200" t="s">
        <v>121</v>
      </c>
    </row>
    <row r="201" spans="1:97" ht="16.149999999999999" customHeight="1" x14ac:dyDescent="0.25">
      <c r="A201" s="16"/>
      <c r="B201" s="16"/>
      <c r="C201" s="16"/>
      <c r="D201" s="16"/>
      <c r="E201" s="16"/>
      <c r="F201" s="16"/>
      <c r="G201" s="17"/>
      <c r="H201" s="17"/>
      <c r="I201" s="17"/>
      <c r="J201" s="17"/>
      <c r="K201" s="18" t="s">
        <v>565</v>
      </c>
      <c r="L201" s="18" t="s">
        <v>566</v>
      </c>
      <c r="M201" s="17"/>
      <c r="N201" s="17"/>
      <c r="O201" s="18" t="s">
        <v>565</v>
      </c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22">
        <v>38</v>
      </c>
      <c r="AO201" s="17"/>
      <c r="AP201" s="17"/>
      <c r="AQ201" s="17"/>
      <c r="AR201" s="17"/>
      <c r="AS201" s="17"/>
      <c r="AT201" s="17"/>
      <c r="AU201" s="17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t="s">
        <v>1925</v>
      </c>
      <c r="CD201" t="s">
        <v>1755</v>
      </c>
      <c r="CE201" t="s">
        <v>1564</v>
      </c>
      <c r="CF201" t="s">
        <v>43</v>
      </c>
      <c r="CG201" t="s">
        <v>1659</v>
      </c>
      <c r="CH201" t="s">
        <v>1836</v>
      </c>
      <c r="CL201">
        <v>4</v>
      </c>
      <c r="CM201" t="s">
        <v>1944</v>
      </c>
      <c r="CN201">
        <v>2</v>
      </c>
      <c r="CO201" t="s">
        <v>1564</v>
      </c>
      <c r="CP201" t="s">
        <v>43</v>
      </c>
      <c r="CQ201" t="s">
        <v>1970</v>
      </c>
      <c r="CR201" t="s">
        <v>2124</v>
      </c>
      <c r="CS201" t="s">
        <v>121</v>
      </c>
    </row>
    <row r="202" spans="1:97" ht="16.149999999999999" customHeight="1" x14ac:dyDescent="0.25">
      <c r="A202" s="16"/>
      <c r="B202" s="16"/>
      <c r="C202" s="16"/>
      <c r="D202" s="16"/>
      <c r="E202" s="16"/>
      <c r="F202" s="16"/>
      <c r="G202" s="17"/>
      <c r="H202" s="17"/>
      <c r="I202" s="17"/>
      <c r="J202" s="17"/>
      <c r="K202" s="18" t="s">
        <v>567</v>
      </c>
      <c r="L202" s="18" t="s">
        <v>568</v>
      </c>
      <c r="M202" s="17"/>
      <c r="N202" s="17"/>
      <c r="O202" s="18" t="s">
        <v>567</v>
      </c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22">
        <v>39</v>
      </c>
      <c r="AO202" s="17"/>
      <c r="AP202" s="17"/>
      <c r="AQ202" s="17"/>
      <c r="AR202" s="17"/>
      <c r="AS202" s="17"/>
      <c r="AT202" s="17"/>
      <c r="AU202" s="17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t="s">
        <v>1925</v>
      </c>
      <c r="CD202" t="s">
        <v>1805</v>
      </c>
      <c r="CE202" t="s">
        <v>1564</v>
      </c>
      <c r="CF202" t="s">
        <v>29</v>
      </c>
      <c r="CG202" t="s">
        <v>1659</v>
      </c>
      <c r="CH202" t="s">
        <v>1879</v>
      </c>
      <c r="CL202">
        <v>5</v>
      </c>
      <c r="CM202" t="s">
        <v>1951</v>
      </c>
      <c r="CN202">
        <v>2</v>
      </c>
      <c r="CO202" t="s">
        <v>1564</v>
      </c>
      <c r="CP202" t="s">
        <v>29</v>
      </c>
      <c r="CQ202" t="s">
        <v>2031</v>
      </c>
      <c r="CR202" t="s">
        <v>2032</v>
      </c>
      <c r="CS202" t="s">
        <v>121</v>
      </c>
    </row>
    <row r="203" spans="1:97" ht="16.149999999999999" customHeight="1" x14ac:dyDescent="0.25">
      <c r="A203" s="16"/>
      <c r="B203" s="16"/>
      <c r="C203" s="16"/>
      <c r="D203" s="16"/>
      <c r="E203" s="16"/>
      <c r="F203" s="16"/>
      <c r="G203" s="17"/>
      <c r="H203" s="17"/>
      <c r="I203" s="17"/>
      <c r="J203" s="17"/>
      <c r="K203" s="18" t="s">
        <v>569</v>
      </c>
      <c r="L203" s="18" t="s">
        <v>570</v>
      </c>
      <c r="M203" s="17"/>
      <c r="N203" s="17"/>
      <c r="O203" s="18" t="s">
        <v>569</v>
      </c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22">
        <v>4</v>
      </c>
      <c r="AO203" s="17"/>
      <c r="AP203" s="17"/>
      <c r="AQ203" s="17"/>
      <c r="AR203" s="17"/>
      <c r="AS203" s="17"/>
      <c r="AT203" s="17"/>
      <c r="AU203" s="17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t="s">
        <v>1925</v>
      </c>
      <c r="CD203" t="s">
        <v>1806</v>
      </c>
      <c r="CE203" t="s">
        <v>1564</v>
      </c>
      <c r="CF203" t="s">
        <v>59</v>
      </c>
      <c r="CG203" t="s">
        <v>1659</v>
      </c>
      <c r="CH203" t="s">
        <v>156</v>
      </c>
      <c r="CL203">
        <v>6</v>
      </c>
      <c r="CM203" t="s">
        <v>1632</v>
      </c>
      <c r="CN203">
        <v>2</v>
      </c>
      <c r="CO203" t="s">
        <v>1564</v>
      </c>
      <c r="CP203" t="s">
        <v>59</v>
      </c>
      <c r="CQ203" t="s">
        <v>1968</v>
      </c>
      <c r="CR203" t="s">
        <v>2082</v>
      </c>
      <c r="CS203" t="s">
        <v>121</v>
      </c>
    </row>
    <row r="204" spans="1:97" ht="16.149999999999999" customHeight="1" x14ac:dyDescent="0.25">
      <c r="A204" s="16"/>
      <c r="B204" s="16"/>
      <c r="C204" s="16"/>
      <c r="D204" s="16"/>
      <c r="E204" s="16"/>
      <c r="F204" s="16"/>
      <c r="G204" s="17"/>
      <c r="H204" s="17"/>
      <c r="I204" s="17"/>
      <c r="J204" s="17"/>
      <c r="K204" s="18" t="s">
        <v>571</v>
      </c>
      <c r="L204" s="18" t="s">
        <v>572</v>
      </c>
      <c r="M204" s="17"/>
      <c r="N204" s="17"/>
      <c r="O204" s="18" t="s">
        <v>571</v>
      </c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22">
        <v>40</v>
      </c>
      <c r="AO204" s="17"/>
      <c r="AP204" s="17"/>
      <c r="AQ204" s="17"/>
      <c r="AR204" s="17"/>
      <c r="AS204" s="17"/>
      <c r="AT204" s="17"/>
      <c r="AU204" s="17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t="s">
        <v>1925</v>
      </c>
      <c r="CD204" t="s">
        <v>108</v>
      </c>
      <c r="CE204" t="s">
        <v>1564</v>
      </c>
      <c r="CF204" t="s">
        <v>60</v>
      </c>
      <c r="CG204" t="s">
        <v>1659</v>
      </c>
      <c r="CH204" t="s">
        <v>1830</v>
      </c>
      <c r="CL204">
        <v>7</v>
      </c>
      <c r="CM204" t="s">
        <v>1660</v>
      </c>
      <c r="CN204">
        <v>2</v>
      </c>
      <c r="CO204" t="s">
        <v>1564</v>
      </c>
      <c r="CP204" t="s">
        <v>60</v>
      </c>
      <c r="CQ204" t="s">
        <v>2011</v>
      </c>
      <c r="CR204" t="s">
        <v>2125</v>
      </c>
      <c r="CS204" t="s">
        <v>121</v>
      </c>
    </row>
    <row r="205" spans="1:97" ht="16.149999999999999" customHeight="1" x14ac:dyDescent="0.25">
      <c r="A205" s="16"/>
      <c r="B205" s="16"/>
      <c r="C205" s="16"/>
      <c r="D205" s="16"/>
      <c r="E205" s="16"/>
      <c r="F205" s="16"/>
      <c r="G205" s="17"/>
      <c r="H205" s="17"/>
      <c r="I205" s="17"/>
      <c r="J205" s="17"/>
      <c r="K205" s="18" t="s">
        <v>573</v>
      </c>
      <c r="L205" s="18" t="s">
        <v>574</v>
      </c>
      <c r="M205" s="17"/>
      <c r="N205" s="17"/>
      <c r="O205" s="18" t="s">
        <v>573</v>
      </c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22">
        <v>41</v>
      </c>
      <c r="AO205" s="17"/>
      <c r="AP205" s="17"/>
      <c r="AQ205" s="17"/>
      <c r="AR205" s="17"/>
      <c r="AS205" s="17"/>
      <c r="AT205" s="17"/>
      <c r="AU205" s="17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t="s">
        <v>1925</v>
      </c>
      <c r="CD205" t="s">
        <v>1807</v>
      </c>
      <c r="CE205" t="s">
        <v>1564</v>
      </c>
      <c r="CF205" t="s">
        <v>50</v>
      </c>
      <c r="CG205" t="s">
        <v>1659</v>
      </c>
      <c r="CH205" t="s">
        <v>1926</v>
      </c>
      <c r="CL205">
        <v>8</v>
      </c>
      <c r="CM205" t="s">
        <v>125</v>
      </c>
      <c r="CN205">
        <v>2</v>
      </c>
      <c r="CO205" t="s">
        <v>1564</v>
      </c>
      <c r="CP205" t="s">
        <v>50</v>
      </c>
      <c r="CQ205" t="s">
        <v>2100</v>
      </c>
      <c r="CR205" t="s">
        <v>2126</v>
      </c>
      <c r="CS205" t="s">
        <v>121</v>
      </c>
    </row>
    <row r="206" spans="1:97" ht="16.149999999999999" customHeight="1" x14ac:dyDescent="0.25">
      <c r="A206" s="16"/>
      <c r="B206" s="16"/>
      <c r="C206" s="16"/>
      <c r="D206" s="16"/>
      <c r="E206" s="16"/>
      <c r="F206" s="16"/>
      <c r="G206" s="17"/>
      <c r="H206" s="17"/>
      <c r="I206" s="17"/>
      <c r="J206" s="17"/>
      <c r="K206" s="18" t="s">
        <v>575</v>
      </c>
      <c r="L206" s="18" t="s">
        <v>576</v>
      </c>
      <c r="M206" s="17"/>
      <c r="N206" s="17"/>
      <c r="O206" s="18" t="s">
        <v>575</v>
      </c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22">
        <v>42</v>
      </c>
      <c r="AO206" s="17"/>
      <c r="AP206" s="17"/>
      <c r="AQ206" s="17"/>
      <c r="AR206" s="17"/>
      <c r="AS206" s="17"/>
      <c r="AT206" s="17"/>
      <c r="AU206" s="17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t="s">
        <v>1925</v>
      </c>
      <c r="CD206" t="s">
        <v>1808</v>
      </c>
      <c r="CE206" t="s">
        <v>1564</v>
      </c>
      <c r="CF206" t="s">
        <v>51</v>
      </c>
      <c r="CG206" t="s">
        <v>1659</v>
      </c>
      <c r="CH206" t="s">
        <v>1927</v>
      </c>
      <c r="CL206">
        <v>9</v>
      </c>
      <c r="CM206" t="s">
        <v>135</v>
      </c>
      <c r="CN206">
        <v>2</v>
      </c>
      <c r="CO206" t="s">
        <v>1564</v>
      </c>
      <c r="CP206" t="s">
        <v>51</v>
      </c>
      <c r="CQ206" t="s">
        <v>2127</v>
      </c>
      <c r="CR206" t="s">
        <v>2128</v>
      </c>
      <c r="CS206" t="s">
        <v>121</v>
      </c>
    </row>
    <row r="207" spans="1:97" ht="16.149999999999999" customHeight="1" x14ac:dyDescent="0.25">
      <c r="A207" s="16"/>
      <c r="B207" s="16"/>
      <c r="C207" s="16"/>
      <c r="D207" s="16"/>
      <c r="E207" s="16"/>
      <c r="F207" s="16"/>
      <c r="G207" s="17"/>
      <c r="H207" s="17"/>
      <c r="I207" s="17"/>
      <c r="J207" s="17"/>
      <c r="K207" s="18" t="s">
        <v>577</v>
      </c>
      <c r="L207" s="18" t="s">
        <v>578</v>
      </c>
      <c r="M207" s="17"/>
      <c r="N207" s="17"/>
      <c r="O207" s="18" t="s">
        <v>577</v>
      </c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22">
        <v>43</v>
      </c>
      <c r="AO207" s="17"/>
      <c r="AP207" s="17"/>
      <c r="AQ207" s="17"/>
      <c r="AR207" s="17"/>
      <c r="AS207" s="17"/>
      <c r="AT207" s="17"/>
      <c r="AU207" s="17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t="s">
        <v>1925</v>
      </c>
      <c r="CD207" t="s">
        <v>1809</v>
      </c>
      <c r="CE207" t="s">
        <v>1564</v>
      </c>
      <c r="CF207" t="s">
        <v>61</v>
      </c>
      <c r="CG207" t="s">
        <v>1664</v>
      </c>
      <c r="CH207" t="s">
        <v>1928</v>
      </c>
      <c r="CL207">
        <v>10</v>
      </c>
      <c r="CM207" t="s">
        <v>1661</v>
      </c>
      <c r="CN207">
        <v>2</v>
      </c>
      <c r="CO207" t="s">
        <v>1564</v>
      </c>
      <c r="CP207" t="s">
        <v>61</v>
      </c>
      <c r="CQ207" t="s">
        <v>2129</v>
      </c>
      <c r="CR207" t="s">
        <v>2130</v>
      </c>
      <c r="CS207" t="s">
        <v>121</v>
      </c>
    </row>
    <row r="208" spans="1:97" ht="16.149999999999999" customHeight="1" x14ac:dyDescent="0.25">
      <c r="A208" s="16"/>
      <c r="B208" s="16"/>
      <c r="C208" s="16"/>
      <c r="D208" s="16"/>
      <c r="E208" s="16"/>
      <c r="F208" s="16"/>
      <c r="G208" s="17"/>
      <c r="H208" s="17"/>
      <c r="I208" s="17"/>
      <c r="J208" s="17"/>
      <c r="K208" s="18" t="s">
        <v>579</v>
      </c>
      <c r="L208" s="18" t="s">
        <v>580</v>
      </c>
      <c r="M208" s="17"/>
      <c r="N208" s="17"/>
      <c r="O208" s="18" t="s">
        <v>579</v>
      </c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22">
        <v>44</v>
      </c>
      <c r="AO208" s="17"/>
      <c r="AP208" s="17"/>
      <c r="AQ208" s="17"/>
      <c r="AR208" s="17"/>
      <c r="AS208" s="17"/>
      <c r="AT208" s="17"/>
      <c r="AU208" s="17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t="s">
        <v>1925</v>
      </c>
      <c r="CD208" t="s">
        <v>109</v>
      </c>
      <c r="CE208" t="s">
        <v>1564</v>
      </c>
      <c r="CF208" t="s">
        <v>21</v>
      </c>
      <c r="CG208" t="s">
        <v>1659</v>
      </c>
      <c r="CH208" t="s">
        <v>1827</v>
      </c>
      <c r="CL208">
        <v>11</v>
      </c>
      <c r="CM208" t="s">
        <v>1662</v>
      </c>
      <c r="CN208">
        <v>2</v>
      </c>
      <c r="CO208" t="s">
        <v>1564</v>
      </c>
      <c r="CP208" t="s">
        <v>21</v>
      </c>
      <c r="CQ208" t="s">
        <v>1942</v>
      </c>
      <c r="CR208" t="s">
        <v>2131</v>
      </c>
      <c r="CS208" t="s">
        <v>121</v>
      </c>
    </row>
    <row r="209" spans="1:97" ht="16.149999999999999" customHeight="1" x14ac:dyDescent="0.25">
      <c r="A209" s="16"/>
      <c r="B209" s="16"/>
      <c r="C209" s="16"/>
      <c r="D209" s="16"/>
      <c r="E209" s="16"/>
      <c r="F209" s="16"/>
      <c r="G209" s="17"/>
      <c r="H209" s="17"/>
      <c r="I209" s="17"/>
      <c r="J209" s="17"/>
      <c r="K209" s="18" t="s">
        <v>581</v>
      </c>
      <c r="L209" s="18" t="s">
        <v>582</v>
      </c>
      <c r="M209" s="17"/>
      <c r="N209" s="17"/>
      <c r="O209" s="18" t="s">
        <v>581</v>
      </c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22">
        <v>45</v>
      </c>
      <c r="AO209" s="17"/>
      <c r="AP209" s="17"/>
      <c r="AQ209" s="17"/>
      <c r="AR209" s="17"/>
      <c r="AS209" s="17"/>
      <c r="AT209" s="17"/>
      <c r="AU209" s="17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t="s">
        <v>1925</v>
      </c>
      <c r="CD209" t="s">
        <v>1810</v>
      </c>
      <c r="CE209" t="s">
        <v>1564</v>
      </c>
      <c r="CF209" t="s">
        <v>22</v>
      </c>
      <c r="CG209" t="s">
        <v>1659</v>
      </c>
      <c r="CH209" t="s">
        <v>1921</v>
      </c>
      <c r="CL209">
        <v>12</v>
      </c>
      <c r="CM209" t="s">
        <v>1663</v>
      </c>
      <c r="CN209">
        <v>2</v>
      </c>
      <c r="CO209" t="s">
        <v>1564</v>
      </c>
      <c r="CP209" t="s">
        <v>22</v>
      </c>
      <c r="CQ209" t="s">
        <v>1948</v>
      </c>
      <c r="CR209" t="s">
        <v>2132</v>
      </c>
      <c r="CS209" t="s">
        <v>121</v>
      </c>
    </row>
    <row r="210" spans="1:97" ht="16.149999999999999" customHeight="1" x14ac:dyDescent="0.25">
      <c r="A210" s="16"/>
      <c r="B210" s="16"/>
      <c r="C210" s="16"/>
      <c r="D210" s="16"/>
      <c r="E210" s="16"/>
      <c r="F210" s="16"/>
      <c r="G210" s="17"/>
      <c r="H210" s="17"/>
      <c r="I210" s="17"/>
      <c r="J210" s="17"/>
      <c r="K210" s="18" t="s">
        <v>583</v>
      </c>
      <c r="L210" s="18" t="s">
        <v>584</v>
      </c>
      <c r="M210" s="17"/>
      <c r="N210" s="17"/>
      <c r="O210" s="18" t="s">
        <v>583</v>
      </c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22">
        <v>46</v>
      </c>
      <c r="AO210" s="17"/>
      <c r="AP210" s="17"/>
      <c r="AQ210" s="17"/>
      <c r="AR210" s="17"/>
      <c r="AS210" s="17"/>
      <c r="AT210" s="17"/>
      <c r="AU210" s="17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t="s">
        <v>1925</v>
      </c>
      <c r="CD210" t="s">
        <v>1811</v>
      </c>
      <c r="CE210" t="s">
        <v>1564</v>
      </c>
      <c r="CF210" t="s">
        <v>62</v>
      </c>
      <c r="CG210" t="s">
        <v>1664</v>
      </c>
      <c r="CH210" t="s">
        <v>1853</v>
      </c>
      <c r="CL210">
        <v>13</v>
      </c>
      <c r="CM210" t="s">
        <v>145</v>
      </c>
      <c r="CN210">
        <v>2</v>
      </c>
      <c r="CO210" t="s">
        <v>1564</v>
      </c>
      <c r="CP210" t="s">
        <v>62</v>
      </c>
      <c r="CQ210" t="s">
        <v>2114</v>
      </c>
      <c r="CR210" t="s">
        <v>2133</v>
      </c>
      <c r="CS210" t="s">
        <v>121</v>
      </c>
    </row>
    <row r="211" spans="1:97" ht="16.149999999999999" customHeight="1" x14ac:dyDescent="0.25">
      <c r="A211" s="16"/>
      <c r="B211" s="16"/>
      <c r="C211" s="16"/>
      <c r="D211" s="16"/>
      <c r="E211" s="16"/>
      <c r="F211" s="16"/>
      <c r="G211" s="17"/>
      <c r="H211" s="17"/>
      <c r="I211" s="17"/>
      <c r="J211" s="17"/>
      <c r="K211" s="18" t="s">
        <v>585</v>
      </c>
      <c r="L211" s="18" t="s">
        <v>586</v>
      </c>
      <c r="M211" s="17"/>
      <c r="N211" s="17"/>
      <c r="O211" s="18" t="s">
        <v>585</v>
      </c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22">
        <v>47</v>
      </c>
      <c r="AO211" s="17"/>
      <c r="AP211" s="17"/>
      <c r="AQ211" s="17"/>
      <c r="AR211" s="17"/>
      <c r="AS211" s="17"/>
      <c r="AT211" s="17"/>
      <c r="AU211" s="17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t="s">
        <v>1925</v>
      </c>
      <c r="CD211" t="s">
        <v>1929</v>
      </c>
      <c r="CE211" t="s">
        <v>1564</v>
      </c>
      <c r="CF211" t="s">
        <v>1731</v>
      </c>
      <c r="CG211" t="s">
        <v>1664</v>
      </c>
      <c r="CH211" t="s">
        <v>1923</v>
      </c>
      <c r="CL211">
        <v>14</v>
      </c>
      <c r="CM211" t="s">
        <v>1664</v>
      </c>
      <c r="CN211">
        <v>2</v>
      </c>
      <c r="CO211" t="s">
        <v>1564</v>
      </c>
      <c r="CP211" t="s">
        <v>1731</v>
      </c>
      <c r="CQ211" t="s">
        <v>2134</v>
      </c>
      <c r="CR211" t="s">
        <v>2135</v>
      </c>
      <c r="CS211" t="s">
        <v>121</v>
      </c>
    </row>
    <row r="212" spans="1:97" ht="16.149999999999999" customHeight="1" x14ac:dyDescent="0.25">
      <c r="A212" s="16"/>
      <c r="B212" s="16"/>
      <c r="C212" s="16"/>
      <c r="D212" s="16"/>
      <c r="E212" s="16"/>
      <c r="F212" s="16"/>
      <c r="G212" s="17"/>
      <c r="H212" s="17"/>
      <c r="I212" s="17"/>
      <c r="J212" s="17"/>
      <c r="K212" s="18" t="s">
        <v>587</v>
      </c>
      <c r="L212" s="18" t="s">
        <v>588</v>
      </c>
      <c r="M212" s="17"/>
      <c r="N212" s="17"/>
      <c r="O212" s="18" t="s">
        <v>587</v>
      </c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22">
        <v>48</v>
      </c>
      <c r="AO212" s="17"/>
      <c r="AP212" s="17"/>
      <c r="AQ212" s="17"/>
      <c r="AR212" s="17"/>
      <c r="AS212" s="17"/>
      <c r="AT212" s="17"/>
      <c r="AU212" s="17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t="s">
        <v>1925</v>
      </c>
      <c r="CD212" t="s">
        <v>1812</v>
      </c>
      <c r="CE212" t="s">
        <v>1564</v>
      </c>
      <c r="CF212" t="s">
        <v>23</v>
      </c>
      <c r="CG212" t="s">
        <v>1664</v>
      </c>
      <c r="CH212" t="s">
        <v>1853</v>
      </c>
      <c r="CL212">
        <v>15</v>
      </c>
      <c r="CM212" t="s">
        <v>1665</v>
      </c>
      <c r="CN212">
        <v>2</v>
      </c>
      <c r="CO212" t="s">
        <v>1564</v>
      </c>
      <c r="CP212" t="s">
        <v>23</v>
      </c>
      <c r="CQ212" t="s">
        <v>2114</v>
      </c>
      <c r="CR212" t="s">
        <v>2136</v>
      </c>
      <c r="CS212" t="s">
        <v>121</v>
      </c>
    </row>
    <row r="213" spans="1:97" ht="16.149999999999999" customHeight="1" x14ac:dyDescent="0.25">
      <c r="A213" s="16"/>
      <c r="B213" s="16"/>
      <c r="C213" s="16"/>
      <c r="D213" s="16"/>
      <c r="E213" s="16"/>
      <c r="F213" s="16"/>
      <c r="G213" s="17"/>
      <c r="H213" s="17"/>
      <c r="I213" s="17"/>
      <c r="J213" s="17"/>
      <c r="K213" s="18" t="s">
        <v>589</v>
      </c>
      <c r="L213" s="18" t="s">
        <v>590</v>
      </c>
      <c r="M213" s="17"/>
      <c r="N213" s="17"/>
      <c r="O213" s="18" t="s">
        <v>589</v>
      </c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22">
        <v>49</v>
      </c>
      <c r="AO213" s="17"/>
      <c r="AP213" s="17"/>
      <c r="AQ213" s="17"/>
      <c r="AR213" s="17"/>
      <c r="AS213" s="17"/>
      <c r="AT213" s="17"/>
      <c r="AU213" s="17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t="s">
        <v>1925</v>
      </c>
      <c r="CD213" t="s">
        <v>1813</v>
      </c>
      <c r="CE213" t="s">
        <v>1564</v>
      </c>
      <c r="CF213" t="s">
        <v>24</v>
      </c>
      <c r="CG213" t="s">
        <v>1659</v>
      </c>
      <c r="CH213" t="s">
        <v>1830</v>
      </c>
      <c r="CL213">
        <v>16</v>
      </c>
      <c r="CM213" t="s">
        <v>1666</v>
      </c>
      <c r="CN213">
        <v>2</v>
      </c>
      <c r="CO213" t="s">
        <v>1564</v>
      </c>
      <c r="CP213" t="s">
        <v>24</v>
      </c>
      <c r="CQ213" t="s">
        <v>2011</v>
      </c>
      <c r="CR213" t="s">
        <v>2137</v>
      </c>
      <c r="CS213" t="s">
        <v>121</v>
      </c>
    </row>
    <row r="214" spans="1:97" ht="16.149999999999999" customHeight="1" x14ac:dyDescent="0.25">
      <c r="A214" s="16"/>
      <c r="B214" s="16"/>
      <c r="C214" s="16"/>
      <c r="D214" s="16"/>
      <c r="E214" s="16"/>
      <c r="F214" s="16"/>
      <c r="G214" s="17"/>
      <c r="H214" s="17"/>
      <c r="I214" s="17"/>
      <c r="J214" s="17"/>
      <c r="K214" s="18" t="s">
        <v>591</v>
      </c>
      <c r="L214" s="18" t="s">
        <v>592</v>
      </c>
      <c r="M214" s="17"/>
      <c r="N214" s="17"/>
      <c r="O214" s="18" t="s">
        <v>591</v>
      </c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22">
        <v>5</v>
      </c>
      <c r="AO214" s="17"/>
      <c r="AP214" s="17"/>
      <c r="AQ214" s="17"/>
      <c r="AR214" s="17"/>
      <c r="AS214" s="17"/>
      <c r="AT214" s="17"/>
      <c r="AU214" s="17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t="s">
        <v>1925</v>
      </c>
      <c r="CD214" t="s">
        <v>1814</v>
      </c>
      <c r="CE214" t="s">
        <v>1564</v>
      </c>
      <c r="CF214" t="s">
        <v>25</v>
      </c>
      <c r="CG214" t="s">
        <v>1664</v>
      </c>
      <c r="CH214" t="s">
        <v>1853</v>
      </c>
      <c r="CL214">
        <v>17</v>
      </c>
      <c r="CM214" t="s">
        <v>1667</v>
      </c>
      <c r="CN214">
        <v>2</v>
      </c>
      <c r="CO214" t="s">
        <v>1564</v>
      </c>
      <c r="CP214" t="s">
        <v>25</v>
      </c>
      <c r="CQ214" t="s">
        <v>2138</v>
      </c>
      <c r="CR214" t="s">
        <v>2139</v>
      </c>
      <c r="CS214" t="s">
        <v>121</v>
      </c>
    </row>
    <row r="215" spans="1:97" ht="16.149999999999999" customHeight="1" x14ac:dyDescent="0.25">
      <c r="A215" s="16"/>
      <c r="B215" s="16"/>
      <c r="C215" s="16"/>
      <c r="D215" s="16"/>
      <c r="E215" s="16"/>
      <c r="F215" s="16"/>
      <c r="G215" s="17"/>
      <c r="H215" s="17"/>
      <c r="I215" s="17"/>
      <c r="J215" s="17"/>
      <c r="K215" s="18" t="s">
        <v>593</v>
      </c>
      <c r="L215" s="18" t="s">
        <v>594</v>
      </c>
      <c r="M215" s="17"/>
      <c r="N215" s="17"/>
      <c r="O215" s="18" t="s">
        <v>593</v>
      </c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22">
        <v>50</v>
      </c>
      <c r="AO215" s="17"/>
      <c r="AP215" s="17"/>
      <c r="AQ215" s="17"/>
      <c r="AR215" s="17"/>
      <c r="AS215" s="17"/>
      <c r="AT215" s="17"/>
      <c r="AU215" s="17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t="s">
        <v>1925</v>
      </c>
      <c r="CD215" t="s">
        <v>1815</v>
      </c>
      <c r="CE215" t="s">
        <v>1564</v>
      </c>
      <c r="CF215" t="s">
        <v>26</v>
      </c>
      <c r="CG215" t="s">
        <v>1659</v>
      </c>
      <c r="CH215" t="s">
        <v>1826</v>
      </c>
      <c r="CL215">
        <v>18</v>
      </c>
      <c r="CM215" t="s">
        <v>1668</v>
      </c>
      <c r="CN215">
        <v>2</v>
      </c>
      <c r="CO215" t="s">
        <v>1564</v>
      </c>
      <c r="CP215" t="s">
        <v>26</v>
      </c>
      <c r="CQ215" t="s">
        <v>2047</v>
      </c>
      <c r="CR215" t="s">
        <v>2140</v>
      </c>
      <c r="CS215" t="s">
        <v>121</v>
      </c>
    </row>
    <row r="216" spans="1:97" ht="16.149999999999999" customHeight="1" x14ac:dyDescent="0.25">
      <c r="A216" s="16"/>
      <c r="B216" s="16"/>
      <c r="C216" s="16"/>
      <c r="D216" s="16"/>
      <c r="E216" s="16"/>
      <c r="F216" s="16"/>
      <c r="G216" s="17"/>
      <c r="H216" s="17"/>
      <c r="I216" s="17"/>
      <c r="J216" s="17"/>
      <c r="K216" s="18" t="s">
        <v>451</v>
      </c>
      <c r="L216" s="18" t="s">
        <v>595</v>
      </c>
      <c r="M216" s="17"/>
      <c r="N216" s="17"/>
      <c r="O216" s="18" t="s">
        <v>451</v>
      </c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22">
        <v>51</v>
      </c>
      <c r="AO216" s="17"/>
      <c r="AP216" s="17"/>
      <c r="AQ216" s="17"/>
      <c r="AR216" s="17"/>
      <c r="AS216" s="17"/>
      <c r="AT216" s="17"/>
      <c r="AU216" s="17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t="s">
        <v>1925</v>
      </c>
      <c r="CD216" t="s">
        <v>1930</v>
      </c>
      <c r="CE216" t="s">
        <v>1564</v>
      </c>
      <c r="CF216" t="s">
        <v>1717</v>
      </c>
      <c r="CG216" t="s">
        <v>1659</v>
      </c>
      <c r="CH216" t="s">
        <v>1849</v>
      </c>
      <c r="CL216">
        <v>19</v>
      </c>
      <c r="CM216" t="s">
        <v>1669</v>
      </c>
      <c r="CN216">
        <v>2</v>
      </c>
      <c r="CO216" t="s">
        <v>1564</v>
      </c>
      <c r="CP216" t="s">
        <v>1717</v>
      </c>
      <c r="CQ216" t="s">
        <v>2008</v>
      </c>
      <c r="CR216" t="s">
        <v>2096</v>
      </c>
      <c r="CS216" t="s">
        <v>121</v>
      </c>
    </row>
    <row r="217" spans="1:97" ht="16.149999999999999" customHeight="1" x14ac:dyDescent="0.25">
      <c r="A217" s="16"/>
      <c r="B217" s="16"/>
      <c r="C217" s="16"/>
      <c r="D217" s="16"/>
      <c r="E217" s="16"/>
      <c r="F217" s="16"/>
      <c r="G217" s="17"/>
      <c r="H217" s="17"/>
      <c r="I217" s="17"/>
      <c r="J217" s="17"/>
      <c r="K217" s="18" t="s">
        <v>596</v>
      </c>
      <c r="L217" s="18" t="s">
        <v>597</v>
      </c>
      <c r="M217" s="17"/>
      <c r="N217" s="17"/>
      <c r="O217" s="18" t="s">
        <v>596</v>
      </c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22">
        <v>52</v>
      </c>
      <c r="AO217" s="17"/>
      <c r="AP217" s="17"/>
      <c r="AQ217" s="17"/>
      <c r="AR217" s="17"/>
      <c r="AS217" s="17"/>
      <c r="AT217" s="17"/>
      <c r="AU217" s="17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t="s">
        <v>1925</v>
      </c>
      <c r="CD217" t="s">
        <v>1816</v>
      </c>
      <c r="CE217" t="s">
        <v>1564</v>
      </c>
      <c r="CF217" t="s">
        <v>1552</v>
      </c>
      <c r="CG217" t="s">
        <v>1664</v>
      </c>
      <c r="CH217" t="s">
        <v>1835</v>
      </c>
      <c r="CL217">
        <v>20</v>
      </c>
      <c r="CM217" t="s">
        <v>1670</v>
      </c>
      <c r="CN217">
        <v>2</v>
      </c>
      <c r="CO217" t="s">
        <v>1564</v>
      </c>
      <c r="CP217" t="s">
        <v>1552</v>
      </c>
      <c r="CQ217" t="s">
        <v>1962</v>
      </c>
      <c r="CR217" t="s">
        <v>2097</v>
      </c>
      <c r="CS217" t="s">
        <v>121</v>
      </c>
    </row>
    <row r="218" spans="1:97" ht="16.149999999999999" customHeight="1" x14ac:dyDescent="0.25">
      <c r="A218" s="16"/>
      <c r="B218" s="16"/>
      <c r="C218" s="16"/>
      <c r="D218" s="16"/>
      <c r="E218" s="16"/>
      <c r="F218" s="16"/>
      <c r="G218" s="17"/>
      <c r="H218" s="17"/>
      <c r="I218" s="17"/>
      <c r="J218" s="17"/>
      <c r="K218" s="18" t="s">
        <v>598</v>
      </c>
      <c r="L218" s="18" t="s">
        <v>599</v>
      </c>
      <c r="M218" s="17"/>
      <c r="N218" s="17"/>
      <c r="O218" s="18" t="s">
        <v>598</v>
      </c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22">
        <v>53</v>
      </c>
      <c r="AO218" s="17"/>
      <c r="AP218" s="17"/>
      <c r="AQ218" s="17"/>
      <c r="AR218" s="17"/>
      <c r="AS218" s="17"/>
      <c r="AT218" s="17"/>
      <c r="AU218" s="17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</row>
    <row r="219" spans="1:97" ht="16.149999999999999" customHeight="1" x14ac:dyDescent="0.25">
      <c r="A219" s="16"/>
      <c r="B219" s="16"/>
      <c r="C219" s="16"/>
      <c r="D219" s="16"/>
      <c r="E219" s="16"/>
      <c r="F219" s="16"/>
      <c r="G219" s="17"/>
      <c r="H219" s="17"/>
      <c r="I219" s="17"/>
      <c r="J219" s="17"/>
      <c r="K219" s="18" t="s">
        <v>600</v>
      </c>
      <c r="L219" s="18" t="s">
        <v>601</v>
      </c>
      <c r="M219" s="17"/>
      <c r="N219" s="17"/>
      <c r="O219" s="18" t="s">
        <v>600</v>
      </c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22">
        <v>54</v>
      </c>
      <c r="AO219" s="17"/>
      <c r="AP219" s="17"/>
      <c r="AQ219" s="17"/>
      <c r="AR219" s="17"/>
      <c r="AS219" s="17"/>
      <c r="AT219" s="17"/>
      <c r="AU219" s="17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</row>
    <row r="220" spans="1:97" ht="16.149999999999999" customHeight="1" x14ac:dyDescent="0.25">
      <c r="A220" s="16"/>
      <c r="B220" s="16"/>
      <c r="C220" s="16"/>
      <c r="D220" s="16"/>
      <c r="E220" s="16"/>
      <c r="F220" s="16"/>
      <c r="G220" s="17"/>
      <c r="H220" s="17"/>
      <c r="I220" s="17"/>
      <c r="J220" s="17"/>
      <c r="K220" s="18" t="s">
        <v>466</v>
      </c>
      <c r="L220" s="18" t="s">
        <v>602</v>
      </c>
      <c r="M220" s="17"/>
      <c r="N220" s="17"/>
      <c r="O220" s="18" t="s">
        <v>466</v>
      </c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22">
        <v>55</v>
      </c>
      <c r="AO220" s="17"/>
      <c r="AP220" s="17"/>
      <c r="AQ220" s="17"/>
      <c r="AR220" s="17"/>
      <c r="AS220" s="17"/>
      <c r="AT220" s="17"/>
      <c r="AU220" s="17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</row>
    <row r="221" spans="1:97" ht="16.149999999999999" customHeight="1" x14ac:dyDescent="0.25">
      <c r="A221" s="16"/>
      <c r="B221" s="16"/>
      <c r="C221" s="16"/>
      <c r="D221" s="16"/>
      <c r="E221" s="16"/>
      <c r="F221" s="16"/>
      <c r="G221" s="17"/>
      <c r="H221" s="17"/>
      <c r="I221" s="17"/>
      <c r="J221" s="17"/>
      <c r="K221" s="18" t="s">
        <v>469</v>
      </c>
      <c r="L221" s="18" t="s">
        <v>603</v>
      </c>
      <c r="M221" s="17"/>
      <c r="N221" s="17"/>
      <c r="O221" s="18" t="s">
        <v>469</v>
      </c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22">
        <v>56</v>
      </c>
      <c r="AO221" s="17"/>
      <c r="AP221" s="17"/>
      <c r="AQ221" s="17"/>
      <c r="AR221" s="17"/>
      <c r="AS221" s="17"/>
      <c r="AT221" s="17"/>
      <c r="AU221" s="17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</row>
    <row r="222" spans="1:97" ht="16.149999999999999" customHeight="1" x14ac:dyDescent="0.25">
      <c r="A222" s="16"/>
      <c r="B222" s="16"/>
      <c r="C222" s="16"/>
      <c r="D222" s="16"/>
      <c r="E222" s="16"/>
      <c r="F222" s="16"/>
      <c r="G222" s="17"/>
      <c r="H222" s="17"/>
      <c r="I222" s="17"/>
      <c r="J222" s="17"/>
      <c r="K222" s="18" t="s">
        <v>604</v>
      </c>
      <c r="L222" s="18" t="s">
        <v>605</v>
      </c>
      <c r="M222" s="17"/>
      <c r="N222" s="17"/>
      <c r="O222" s="18" t="s">
        <v>604</v>
      </c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22">
        <v>57</v>
      </c>
      <c r="AO222" s="17"/>
      <c r="AP222" s="17"/>
      <c r="AQ222" s="17"/>
      <c r="AR222" s="17"/>
      <c r="AS222" s="17"/>
      <c r="AT222" s="17"/>
      <c r="AU222" s="17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</row>
    <row r="223" spans="1:97" ht="16.149999999999999" customHeight="1" x14ac:dyDescent="0.25">
      <c r="A223" s="16"/>
      <c r="B223" s="16"/>
      <c r="C223" s="16"/>
      <c r="D223" s="16"/>
      <c r="E223" s="16"/>
      <c r="F223" s="16"/>
      <c r="G223" s="17"/>
      <c r="H223" s="17"/>
      <c r="I223" s="17"/>
      <c r="J223" s="17"/>
      <c r="K223" s="18" t="s">
        <v>480</v>
      </c>
      <c r="L223" s="18" t="s">
        <v>606</v>
      </c>
      <c r="M223" s="17"/>
      <c r="N223" s="17"/>
      <c r="O223" s="18" t="s">
        <v>480</v>
      </c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22">
        <v>58</v>
      </c>
      <c r="AO223" s="17"/>
      <c r="AP223" s="17"/>
      <c r="AQ223" s="17"/>
      <c r="AR223" s="17"/>
      <c r="AS223" s="17"/>
      <c r="AT223" s="17"/>
      <c r="AU223" s="17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</row>
    <row r="224" spans="1:97" ht="16.149999999999999" customHeight="1" x14ac:dyDescent="0.25">
      <c r="A224" s="16"/>
      <c r="B224" s="16"/>
      <c r="C224" s="16"/>
      <c r="D224" s="16"/>
      <c r="E224" s="16"/>
      <c r="F224" s="16"/>
      <c r="G224" s="17"/>
      <c r="H224" s="17"/>
      <c r="I224" s="17"/>
      <c r="J224" s="17"/>
      <c r="K224" s="18" t="s">
        <v>487</v>
      </c>
      <c r="L224" s="18" t="s">
        <v>607</v>
      </c>
      <c r="M224" s="17"/>
      <c r="N224" s="17"/>
      <c r="O224" s="18" t="s">
        <v>487</v>
      </c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22">
        <v>59</v>
      </c>
      <c r="AO224" s="17"/>
      <c r="AP224" s="17"/>
      <c r="AQ224" s="17"/>
      <c r="AR224" s="17"/>
      <c r="AS224" s="17"/>
      <c r="AT224" s="17"/>
      <c r="AU224" s="17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</row>
    <row r="225" spans="1:80" ht="16.149999999999999" customHeight="1" x14ac:dyDescent="0.25">
      <c r="A225" s="16"/>
      <c r="B225" s="16"/>
      <c r="C225" s="16"/>
      <c r="D225" s="16"/>
      <c r="E225" s="16"/>
      <c r="F225" s="16"/>
      <c r="G225" s="17"/>
      <c r="H225" s="17"/>
      <c r="I225" s="17"/>
      <c r="J225" s="17"/>
      <c r="K225" s="18" t="s">
        <v>496</v>
      </c>
      <c r="L225" s="18" t="s">
        <v>608</v>
      </c>
      <c r="M225" s="17"/>
      <c r="N225" s="17"/>
      <c r="O225" s="18" t="s">
        <v>496</v>
      </c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22">
        <v>6</v>
      </c>
      <c r="AO225" s="17"/>
      <c r="AP225" s="17"/>
      <c r="AQ225" s="17"/>
      <c r="AR225" s="17"/>
      <c r="AS225" s="17"/>
      <c r="AT225" s="17"/>
      <c r="AU225" s="17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</row>
    <row r="226" spans="1:80" ht="16.149999999999999" customHeight="1" x14ac:dyDescent="0.25">
      <c r="A226" s="16"/>
      <c r="B226" s="16"/>
      <c r="C226" s="16"/>
      <c r="D226" s="16"/>
      <c r="E226" s="16"/>
      <c r="F226" s="16"/>
      <c r="G226" s="17"/>
      <c r="H226" s="17"/>
      <c r="I226" s="17"/>
      <c r="J226" s="17"/>
      <c r="K226" s="18" t="s">
        <v>609</v>
      </c>
      <c r="L226" s="18" t="s">
        <v>610</v>
      </c>
      <c r="M226" s="17"/>
      <c r="N226" s="17"/>
      <c r="O226" s="18" t="s">
        <v>609</v>
      </c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22">
        <v>60</v>
      </c>
      <c r="AO226" s="17"/>
      <c r="AP226" s="17"/>
      <c r="AQ226" s="17"/>
      <c r="AR226" s="17"/>
      <c r="AS226" s="17"/>
      <c r="AT226" s="17"/>
      <c r="AU226" s="17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</row>
    <row r="227" spans="1:80" ht="16.149999999999999" customHeight="1" x14ac:dyDescent="0.25">
      <c r="A227" s="16"/>
      <c r="B227" s="16"/>
      <c r="C227" s="16"/>
      <c r="D227" s="16"/>
      <c r="E227" s="16"/>
      <c r="F227" s="16"/>
      <c r="G227" s="17"/>
      <c r="H227" s="17"/>
      <c r="I227" s="17"/>
      <c r="J227" s="17"/>
      <c r="K227" s="18" t="s">
        <v>611</v>
      </c>
      <c r="L227" s="18" t="s">
        <v>612</v>
      </c>
      <c r="M227" s="17"/>
      <c r="N227" s="17"/>
      <c r="O227" s="18" t="s">
        <v>611</v>
      </c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22">
        <v>61</v>
      </c>
      <c r="AO227" s="17"/>
      <c r="AP227" s="17"/>
      <c r="AQ227" s="17"/>
      <c r="AR227" s="17"/>
      <c r="AS227" s="17"/>
      <c r="AT227" s="17"/>
      <c r="AU227" s="17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</row>
    <row r="228" spans="1:80" ht="16.149999999999999" customHeight="1" x14ac:dyDescent="0.25">
      <c r="A228" s="16"/>
      <c r="B228" s="16"/>
      <c r="C228" s="16"/>
      <c r="D228" s="16"/>
      <c r="E228" s="16"/>
      <c r="F228" s="16"/>
      <c r="G228" s="17"/>
      <c r="H228" s="17"/>
      <c r="I228" s="17"/>
      <c r="J228" s="17"/>
      <c r="K228" s="18" t="s">
        <v>613</v>
      </c>
      <c r="L228" s="18" t="s">
        <v>614</v>
      </c>
      <c r="M228" s="17"/>
      <c r="N228" s="17"/>
      <c r="O228" s="18" t="s">
        <v>613</v>
      </c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22">
        <v>62</v>
      </c>
      <c r="AO228" s="17"/>
      <c r="AP228" s="17"/>
      <c r="AQ228" s="17"/>
      <c r="AR228" s="17"/>
      <c r="AS228" s="17"/>
      <c r="AT228" s="17"/>
      <c r="AU228" s="17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</row>
    <row r="229" spans="1:80" ht="16.149999999999999" customHeight="1" x14ac:dyDescent="0.25">
      <c r="A229" s="16"/>
      <c r="B229" s="16"/>
      <c r="C229" s="16"/>
      <c r="D229" s="16"/>
      <c r="E229" s="16"/>
      <c r="F229" s="16"/>
      <c r="G229" s="17"/>
      <c r="H229" s="17"/>
      <c r="I229" s="17"/>
      <c r="J229" s="17"/>
      <c r="K229" s="18" t="s">
        <v>615</v>
      </c>
      <c r="L229" s="18" t="s">
        <v>616</v>
      </c>
      <c r="M229" s="17"/>
      <c r="N229" s="17"/>
      <c r="O229" s="18" t="s">
        <v>615</v>
      </c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22">
        <v>63</v>
      </c>
      <c r="AO229" s="17"/>
      <c r="AP229" s="17"/>
      <c r="AQ229" s="17"/>
      <c r="AR229" s="17"/>
      <c r="AS229" s="17"/>
      <c r="AT229" s="17"/>
      <c r="AU229" s="17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</row>
    <row r="230" spans="1:80" ht="16.149999999999999" customHeight="1" x14ac:dyDescent="0.25">
      <c r="A230" s="16"/>
      <c r="B230" s="16"/>
      <c r="C230" s="16"/>
      <c r="D230" s="16"/>
      <c r="E230" s="16"/>
      <c r="F230" s="16"/>
      <c r="G230" s="17"/>
      <c r="H230" s="17"/>
      <c r="I230" s="17"/>
      <c r="J230" s="17"/>
      <c r="K230" s="18" t="s">
        <v>617</v>
      </c>
      <c r="L230" s="18" t="s">
        <v>618</v>
      </c>
      <c r="M230" s="17"/>
      <c r="N230" s="17"/>
      <c r="O230" s="18" t="s">
        <v>617</v>
      </c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22">
        <v>64</v>
      </c>
      <c r="AO230" s="17"/>
      <c r="AP230" s="17"/>
      <c r="AQ230" s="17"/>
      <c r="AR230" s="17"/>
      <c r="AS230" s="17"/>
      <c r="AT230" s="17"/>
      <c r="AU230" s="17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</row>
    <row r="231" spans="1:80" ht="16.149999999999999" customHeight="1" x14ac:dyDescent="0.25">
      <c r="A231" s="16"/>
      <c r="B231" s="16"/>
      <c r="C231" s="16"/>
      <c r="D231" s="16"/>
      <c r="E231" s="16"/>
      <c r="F231" s="16"/>
      <c r="G231" s="17"/>
      <c r="H231" s="17"/>
      <c r="I231" s="17"/>
      <c r="J231" s="17"/>
      <c r="K231" s="18" t="s">
        <v>619</v>
      </c>
      <c r="L231" s="18" t="s">
        <v>620</v>
      </c>
      <c r="M231" s="17"/>
      <c r="N231" s="17"/>
      <c r="O231" s="18" t="s">
        <v>619</v>
      </c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22">
        <v>65</v>
      </c>
      <c r="AO231" s="17"/>
      <c r="AP231" s="17"/>
      <c r="AQ231" s="17"/>
      <c r="AR231" s="17"/>
      <c r="AS231" s="17"/>
      <c r="AT231" s="17"/>
      <c r="AU231" s="17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</row>
    <row r="232" spans="1:80" ht="16.149999999999999" customHeight="1" x14ac:dyDescent="0.25">
      <c r="A232" s="16"/>
      <c r="B232" s="16"/>
      <c r="C232" s="16"/>
      <c r="D232" s="16"/>
      <c r="E232" s="16"/>
      <c r="F232" s="16"/>
      <c r="G232" s="17"/>
      <c r="H232" s="17"/>
      <c r="I232" s="17"/>
      <c r="J232" s="17"/>
      <c r="K232" s="18" t="s">
        <v>621</v>
      </c>
      <c r="L232" s="18" t="s">
        <v>622</v>
      </c>
      <c r="M232" s="17"/>
      <c r="N232" s="17"/>
      <c r="O232" s="18" t="s">
        <v>621</v>
      </c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22">
        <v>66</v>
      </c>
      <c r="AO232" s="17"/>
      <c r="AP232" s="17"/>
      <c r="AQ232" s="17"/>
      <c r="AR232" s="17"/>
      <c r="AS232" s="17"/>
      <c r="AT232" s="17"/>
      <c r="AU232" s="17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</row>
    <row r="233" spans="1:80" ht="16.149999999999999" customHeight="1" x14ac:dyDescent="0.25">
      <c r="A233" s="16"/>
      <c r="B233" s="16"/>
      <c r="C233" s="16"/>
      <c r="D233" s="16"/>
      <c r="E233" s="16"/>
      <c r="F233" s="16"/>
      <c r="G233" s="17"/>
      <c r="H233" s="17"/>
      <c r="I233" s="17"/>
      <c r="J233" s="17"/>
      <c r="K233" s="18" t="s">
        <v>623</v>
      </c>
      <c r="L233" s="18" t="s">
        <v>624</v>
      </c>
      <c r="M233" s="17"/>
      <c r="N233" s="17"/>
      <c r="O233" s="18" t="s">
        <v>623</v>
      </c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22">
        <v>67</v>
      </c>
      <c r="AO233" s="17"/>
      <c r="AP233" s="17"/>
      <c r="AQ233" s="17"/>
      <c r="AR233" s="17"/>
      <c r="AS233" s="17"/>
      <c r="AT233" s="17"/>
      <c r="AU233" s="17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</row>
    <row r="234" spans="1:80" ht="16.149999999999999" customHeight="1" x14ac:dyDescent="0.25">
      <c r="A234" s="16"/>
      <c r="B234" s="16"/>
      <c r="C234" s="16"/>
      <c r="D234" s="16"/>
      <c r="E234" s="16"/>
      <c r="F234" s="16"/>
      <c r="G234" s="17"/>
      <c r="H234" s="17"/>
      <c r="I234" s="17"/>
      <c r="J234" s="17"/>
      <c r="K234" s="18" t="s">
        <v>625</v>
      </c>
      <c r="L234" s="18" t="s">
        <v>626</v>
      </c>
      <c r="M234" s="17"/>
      <c r="N234" s="17"/>
      <c r="O234" s="18" t="s">
        <v>625</v>
      </c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22">
        <v>68</v>
      </c>
      <c r="AO234" s="17"/>
      <c r="AP234" s="17"/>
      <c r="AQ234" s="17"/>
      <c r="AR234" s="17"/>
      <c r="AS234" s="17"/>
      <c r="AT234" s="17"/>
      <c r="AU234" s="17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</row>
    <row r="235" spans="1:80" ht="16.149999999999999" customHeight="1" x14ac:dyDescent="0.25">
      <c r="A235" s="16"/>
      <c r="B235" s="16"/>
      <c r="C235" s="16"/>
      <c r="D235" s="16"/>
      <c r="E235" s="16"/>
      <c r="F235" s="16"/>
      <c r="G235" s="17"/>
      <c r="H235" s="17"/>
      <c r="I235" s="17"/>
      <c r="J235" s="17"/>
      <c r="K235" s="18" t="s">
        <v>627</v>
      </c>
      <c r="L235" s="18" t="s">
        <v>628</v>
      </c>
      <c r="M235" s="17"/>
      <c r="N235" s="17"/>
      <c r="O235" s="18" t="s">
        <v>627</v>
      </c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22">
        <v>69</v>
      </c>
      <c r="AO235" s="17"/>
      <c r="AP235" s="17"/>
      <c r="AQ235" s="17"/>
      <c r="AR235" s="17"/>
      <c r="AS235" s="17"/>
      <c r="AT235" s="17"/>
      <c r="AU235" s="17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</row>
    <row r="236" spans="1:80" ht="16.149999999999999" customHeight="1" x14ac:dyDescent="0.25">
      <c r="A236" s="16"/>
      <c r="B236" s="16"/>
      <c r="C236" s="16"/>
      <c r="D236" s="16"/>
      <c r="E236" s="16"/>
      <c r="F236" s="16"/>
      <c r="G236" s="17"/>
      <c r="H236" s="17"/>
      <c r="I236" s="17"/>
      <c r="J236" s="17"/>
      <c r="K236" s="18" t="s">
        <v>629</v>
      </c>
      <c r="L236" s="18" t="s">
        <v>630</v>
      </c>
      <c r="M236" s="17"/>
      <c r="N236" s="17"/>
      <c r="O236" s="18" t="s">
        <v>629</v>
      </c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22">
        <v>7</v>
      </c>
      <c r="AO236" s="17"/>
      <c r="AP236" s="17"/>
      <c r="AQ236" s="17"/>
      <c r="AR236" s="17"/>
      <c r="AS236" s="17"/>
      <c r="AT236" s="17"/>
      <c r="AU236" s="17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</row>
    <row r="237" spans="1:80" ht="16.149999999999999" customHeight="1" x14ac:dyDescent="0.25">
      <c r="A237" s="16"/>
      <c r="B237" s="16"/>
      <c r="C237" s="16"/>
      <c r="D237" s="16"/>
      <c r="E237" s="16"/>
      <c r="F237" s="16"/>
      <c r="G237" s="17"/>
      <c r="H237" s="17"/>
      <c r="I237" s="17"/>
      <c r="J237" s="17"/>
      <c r="K237" s="18" t="s">
        <v>631</v>
      </c>
      <c r="L237" s="18" t="s">
        <v>632</v>
      </c>
      <c r="M237" s="17"/>
      <c r="N237" s="17"/>
      <c r="O237" s="18" t="s">
        <v>631</v>
      </c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22">
        <v>70</v>
      </c>
      <c r="AO237" s="17"/>
      <c r="AP237" s="17"/>
      <c r="AQ237" s="17"/>
      <c r="AR237" s="17"/>
      <c r="AS237" s="17"/>
      <c r="AT237" s="17"/>
      <c r="AU237" s="17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</row>
    <row r="238" spans="1:80" ht="16.149999999999999" customHeight="1" x14ac:dyDescent="0.25">
      <c r="A238" s="16"/>
      <c r="B238" s="16"/>
      <c r="C238" s="16"/>
      <c r="D238" s="16"/>
      <c r="E238" s="16"/>
      <c r="F238" s="16"/>
      <c r="G238" s="17"/>
      <c r="H238" s="17"/>
      <c r="I238" s="17"/>
      <c r="J238" s="17"/>
      <c r="K238" s="18" t="s">
        <v>633</v>
      </c>
      <c r="L238" s="18" t="s">
        <v>634</v>
      </c>
      <c r="M238" s="17"/>
      <c r="N238" s="17"/>
      <c r="O238" s="18" t="s">
        <v>633</v>
      </c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22">
        <v>71</v>
      </c>
      <c r="AO238" s="17"/>
      <c r="AP238" s="17"/>
      <c r="AQ238" s="17"/>
      <c r="AR238" s="17"/>
      <c r="AS238" s="17"/>
      <c r="AT238" s="17"/>
      <c r="AU238" s="17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</row>
    <row r="239" spans="1:80" ht="16.149999999999999" customHeight="1" x14ac:dyDescent="0.25">
      <c r="A239" s="16"/>
      <c r="B239" s="16"/>
      <c r="C239" s="16"/>
      <c r="D239" s="16"/>
      <c r="E239" s="16"/>
      <c r="F239" s="16"/>
      <c r="G239" s="17"/>
      <c r="H239" s="17"/>
      <c r="I239" s="17"/>
      <c r="J239" s="17"/>
      <c r="K239" s="18" t="s">
        <v>635</v>
      </c>
      <c r="L239" s="18" t="s">
        <v>636</v>
      </c>
      <c r="M239" s="17"/>
      <c r="N239" s="17"/>
      <c r="O239" s="18" t="s">
        <v>635</v>
      </c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22">
        <v>72</v>
      </c>
      <c r="AO239" s="17"/>
      <c r="AP239" s="17"/>
      <c r="AQ239" s="17"/>
      <c r="AR239" s="17"/>
      <c r="AS239" s="17"/>
      <c r="AT239" s="17"/>
      <c r="AU239" s="17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</row>
    <row r="240" spans="1:80" ht="16.149999999999999" customHeight="1" x14ac:dyDescent="0.25">
      <c r="A240" s="16"/>
      <c r="B240" s="16"/>
      <c r="C240" s="16"/>
      <c r="D240" s="16"/>
      <c r="E240" s="16"/>
      <c r="F240" s="16"/>
      <c r="G240" s="17"/>
      <c r="H240" s="17"/>
      <c r="I240" s="17"/>
      <c r="J240" s="17"/>
      <c r="K240" s="18" t="s">
        <v>637</v>
      </c>
      <c r="L240" s="18" t="s">
        <v>638</v>
      </c>
      <c r="M240" s="17"/>
      <c r="N240" s="17"/>
      <c r="O240" s="18" t="s">
        <v>637</v>
      </c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22">
        <v>73</v>
      </c>
      <c r="AO240" s="17"/>
      <c r="AP240" s="17"/>
      <c r="AQ240" s="17"/>
      <c r="AR240" s="17"/>
      <c r="AS240" s="17"/>
      <c r="AT240" s="17"/>
      <c r="AU240" s="17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</row>
    <row r="241" spans="1:80" ht="16.149999999999999" customHeight="1" x14ac:dyDescent="0.25">
      <c r="A241" s="16"/>
      <c r="B241" s="16"/>
      <c r="C241" s="16"/>
      <c r="D241" s="16"/>
      <c r="E241" s="16"/>
      <c r="F241" s="16"/>
      <c r="G241" s="17"/>
      <c r="H241" s="17"/>
      <c r="I241" s="17"/>
      <c r="J241" s="17"/>
      <c r="K241" s="18" t="s">
        <v>639</v>
      </c>
      <c r="L241" s="18" t="s">
        <v>640</v>
      </c>
      <c r="M241" s="17"/>
      <c r="N241" s="17"/>
      <c r="O241" s="18" t="s">
        <v>639</v>
      </c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22">
        <v>74</v>
      </c>
      <c r="AO241" s="17"/>
      <c r="AP241" s="17"/>
      <c r="AQ241" s="17"/>
      <c r="AR241" s="17"/>
      <c r="AS241" s="17"/>
      <c r="AT241" s="17"/>
      <c r="AU241" s="17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</row>
    <row r="242" spans="1:80" ht="16.149999999999999" customHeight="1" x14ac:dyDescent="0.25">
      <c r="A242" s="16"/>
      <c r="B242" s="16"/>
      <c r="C242" s="16"/>
      <c r="D242" s="16"/>
      <c r="E242" s="16"/>
      <c r="F242" s="16"/>
      <c r="G242" s="17"/>
      <c r="H242" s="17"/>
      <c r="I242" s="17"/>
      <c r="J242" s="17"/>
      <c r="K242" s="18" t="s">
        <v>641</v>
      </c>
      <c r="L242" s="18" t="s">
        <v>642</v>
      </c>
      <c r="M242" s="17"/>
      <c r="N242" s="17"/>
      <c r="O242" s="18" t="s">
        <v>641</v>
      </c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22">
        <v>75</v>
      </c>
      <c r="AO242" s="17"/>
      <c r="AP242" s="17"/>
      <c r="AQ242" s="17"/>
      <c r="AR242" s="17"/>
      <c r="AS242" s="17"/>
      <c r="AT242" s="17"/>
      <c r="AU242" s="17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</row>
    <row r="243" spans="1:80" ht="16.149999999999999" customHeight="1" x14ac:dyDescent="0.25">
      <c r="A243" s="16"/>
      <c r="B243" s="16"/>
      <c r="C243" s="16"/>
      <c r="D243" s="16"/>
      <c r="E243" s="16"/>
      <c r="F243" s="16"/>
      <c r="G243" s="17"/>
      <c r="H243" s="17"/>
      <c r="I243" s="17"/>
      <c r="J243" s="17"/>
      <c r="K243" s="18" t="s">
        <v>643</v>
      </c>
      <c r="L243" s="18" t="s">
        <v>644</v>
      </c>
      <c r="M243" s="17"/>
      <c r="N243" s="17"/>
      <c r="O243" s="18" t="s">
        <v>643</v>
      </c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22">
        <v>76</v>
      </c>
      <c r="AO243" s="17"/>
      <c r="AP243" s="17"/>
      <c r="AQ243" s="17"/>
      <c r="AR243" s="17"/>
      <c r="AS243" s="17"/>
      <c r="AT243" s="17"/>
      <c r="AU243" s="17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</row>
    <row r="244" spans="1:80" ht="16.149999999999999" customHeight="1" x14ac:dyDescent="0.25">
      <c r="A244" s="16"/>
      <c r="B244" s="16"/>
      <c r="C244" s="16"/>
      <c r="D244" s="16"/>
      <c r="E244" s="16"/>
      <c r="F244" s="16"/>
      <c r="G244" s="17"/>
      <c r="H244" s="17"/>
      <c r="I244" s="17"/>
      <c r="J244" s="17"/>
      <c r="K244" s="18" t="s">
        <v>645</v>
      </c>
      <c r="L244" s="18" t="s">
        <v>646</v>
      </c>
      <c r="M244" s="17"/>
      <c r="N244" s="17"/>
      <c r="O244" s="18" t="s">
        <v>645</v>
      </c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22">
        <v>77</v>
      </c>
      <c r="AO244" s="17"/>
      <c r="AP244" s="17"/>
      <c r="AQ244" s="17"/>
      <c r="AR244" s="17"/>
      <c r="AS244" s="17"/>
      <c r="AT244" s="17"/>
      <c r="AU244" s="17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</row>
    <row r="245" spans="1:80" ht="16.149999999999999" customHeight="1" x14ac:dyDescent="0.25">
      <c r="A245" s="16"/>
      <c r="B245" s="16"/>
      <c r="C245" s="16"/>
      <c r="D245" s="16"/>
      <c r="E245" s="16"/>
      <c r="F245" s="16"/>
      <c r="G245" s="17"/>
      <c r="H245" s="17"/>
      <c r="I245" s="17"/>
      <c r="J245" s="17"/>
      <c r="K245" s="18" t="s">
        <v>647</v>
      </c>
      <c r="L245" s="18" t="s">
        <v>648</v>
      </c>
      <c r="M245" s="17"/>
      <c r="N245" s="17"/>
      <c r="O245" s="18" t="s">
        <v>647</v>
      </c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22">
        <v>78</v>
      </c>
      <c r="AO245" s="17"/>
      <c r="AP245" s="17"/>
      <c r="AQ245" s="17"/>
      <c r="AR245" s="17"/>
      <c r="AS245" s="17"/>
      <c r="AT245" s="17"/>
      <c r="AU245" s="17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</row>
    <row r="246" spans="1:80" ht="16.149999999999999" customHeight="1" x14ac:dyDescent="0.25">
      <c r="A246" s="16"/>
      <c r="B246" s="16"/>
      <c r="C246" s="16"/>
      <c r="D246" s="16"/>
      <c r="E246" s="16"/>
      <c r="F246" s="16"/>
      <c r="G246" s="17"/>
      <c r="H246" s="17"/>
      <c r="I246" s="17"/>
      <c r="J246" s="17"/>
      <c r="K246" s="18" t="s">
        <v>649</v>
      </c>
      <c r="L246" s="18" t="s">
        <v>650</v>
      </c>
      <c r="M246" s="17"/>
      <c r="N246" s="17"/>
      <c r="O246" s="18" t="s">
        <v>649</v>
      </c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22">
        <v>79</v>
      </c>
      <c r="AO246" s="17"/>
      <c r="AP246" s="17"/>
      <c r="AQ246" s="17"/>
      <c r="AR246" s="17"/>
      <c r="AS246" s="17"/>
      <c r="AT246" s="17"/>
      <c r="AU246" s="17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</row>
    <row r="247" spans="1:80" ht="16.149999999999999" customHeight="1" x14ac:dyDescent="0.25">
      <c r="A247" s="16"/>
      <c r="B247" s="16"/>
      <c r="C247" s="16"/>
      <c r="D247" s="16"/>
      <c r="E247" s="16"/>
      <c r="F247" s="16"/>
      <c r="G247" s="17"/>
      <c r="H247" s="17"/>
      <c r="I247" s="17"/>
      <c r="J247" s="17"/>
      <c r="K247" s="18" t="s">
        <v>651</v>
      </c>
      <c r="L247" s="18" t="s">
        <v>652</v>
      </c>
      <c r="M247" s="17"/>
      <c r="N247" s="17"/>
      <c r="O247" s="18" t="s">
        <v>651</v>
      </c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22">
        <v>8</v>
      </c>
      <c r="AO247" s="17"/>
      <c r="AP247" s="17"/>
      <c r="AQ247" s="17"/>
      <c r="AR247" s="17"/>
      <c r="AS247" s="17"/>
      <c r="AT247" s="17"/>
      <c r="AU247" s="17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</row>
    <row r="248" spans="1:80" ht="16.149999999999999" customHeight="1" x14ac:dyDescent="0.25">
      <c r="A248" s="16"/>
      <c r="B248" s="16"/>
      <c r="C248" s="16"/>
      <c r="D248" s="16"/>
      <c r="E248" s="16"/>
      <c r="F248" s="16"/>
      <c r="G248" s="17"/>
      <c r="H248" s="17"/>
      <c r="I248" s="17"/>
      <c r="J248" s="17"/>
      <c r="K248" s="18" t="s">
        <v>653</v>
      </c>
      <c r="L248" s="18" t="s">
        <v>654</v>
      </c>
      <c r="M248" s="17"/>
      <c r="N248" s="17"/>
      <c r="O248" s="18" t="s">
        <v>653</v>
      </c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22">
        <v>80</v>
      </c>
      <c r="AO248" s="17"/>
      <c r="AP248" s="17"/>
      <c r="AQ248" s="17"/>
      <c r="AR248" s="17"/>
      <c r="AS248" s="17"/>
      <c r="AT248" s="17"/>
      <c r="AU248" s="17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</row>
    <row r="249" spans="1:80" ht="16.149999999999999" customHeight="1" x14ac:dyDescent="0.25">
      <c r="A249" s="16"/>
      <c r="B249" s="16"/>
      <c r="C249" s="16"/>
      <c r="D249" s="16"/>
      <c r="E249" s="16"/>
      <c r="F249" s="16"/>
      <c r="G249" s="17"/>
      <c r="H249" s="17"/>
      <c r="I249" s="17"/>
      <c r="J249" s="17"/>
      <c r="K249" s="18" t="s">
        <v>655</v>
      </c>
      <c r="L249" s="18" t="s">
        <v>656</v>
      </c>
      <c r="M249" s="17"/>
      <c r="N249" s="17"/>
      <c r="O249" s="18" t="s">
        <v>655</v>
      </c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22">
        <v>81</v>
      </c>
      <c r="AO249" s="17"/>
      <c r="AP249" s="17"/>
      <c r="AQ249" s="17"/>
      <c r="AR249" s="17"/>
      <c r="AS249" s="17"/>
      <c r="AT249" s="17"/>
      <c r="AU249" s="17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</row>
    <row r="250" spans="1:80" ht="16.149999999999999" customHeight="1" x14ac:dyDescent="0.25">
      <c r="A250" s="16"/>
      <c r="B250" s="16"/>
      <c r="C250" s="16"/>
      <c r="D250" s="16"/>
      <c r="E250" s="16"/>
      <c r="F250" s="16"/>
      <c r="G250" s="17"/>
      <c r="H250" s="17"/>
      <c r="I250" s="17"/>
      <c r="J250" s="17"/>
      <c r="K250" s="18" t="s">
        <v>657</v>
      </c>
      <c r="L250" s="18" t="s">
        <v>658</v>
      </c>
      <c r="M250" s="17"/>
      <c r="N250" s="17"/>
      <c r="O250" s="18" t="s">
        <v>657</v>
      </c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22">
        <v>82</v>
      </c>
      <c r="AO250" s="17"/>
      <c r="AP250" s="17"/>
      <c r="AQ250" s="17"/>
      <c r="AR250" s="17"/>
      <c r="AS250" s="17"/>
      <c r="AT250" s="17"/>
      <c r="AU250" s="17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</row>
    <row r="251" spans="1:80" ht="16.149999999999999" customHeight="1" x14ac:dyDescent="0.25">
      <c r="A251" s="16"/>
      <c r="B251" s="16"/>
      <c r="C251" s="16"/>
      <c r="D251" s="16"/>
      <c r="E251" s="16"/>
      <c r="F251" s="16"/>
      <c r="G251" s="17"/>
      <c r="H251" s="17"/>
      <c r="I251" s="17"/>
      <c r="J251" s="17"/>
      <c r="K251" s="18" t="s">
        <v>659</v>
      </c>
      <c r="L251" s="18" t="s">
        <v>660</v>
      </c>
      <c r="M251" s="17"/>
      <c r="N251" s="17"/>
      <c r="O251" s="18" t="s">
        <v>659</v>
      </c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22">
        <v>83</v>
      </c>
      <c r="AO251" s="17"/>
      <c r="AP251" s="17"/>
      <c r="AQ251" s="17"/>
      <c r="AR251" s="17"/>
      <c r="AS251" s="17"/>
      <c r="AT251" s="17"/>
      <c r="AU251" s="17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</row>
    <row r="252" spans="1:80" ht="16.149999999999999" customHeight="1" x14ac:dyDescent="0.25">
      <c r="A252" s="16"/>
      <c r="B252" s="16"/>
      <c r="C252" s="16"/>
      <c r="D252" s="16"/>
      <c r="E252" s="16"/>
      <c r="F252" s="16"/>
      <c r="G252" s="17"/>
      <c r="H252" s="17"/>
      <c r="I252" s="17"/>
      <c r="J252" s="17"/>
      <c r="K252" s="18" t="s">
        <v>661</v>
      </c>
      <c r="L252" s="18" t="s">
        <v>662</v>
      </c>
      <c r="M252" s="17"/>
      <c r="N252" s="17"/>
      <c r="O252" s="18" t="s">
        <v>661</v>
      </c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22">
        <v>84</v>
      </c>
      <c r="AO252" s="17"/>
      <c r="AP252" s="17"/>
      <c r="AQ252" s="17"/>
      <c r="AR252" s="17"/>
      <c r="AS252" s="17"/>
      <c r="AT252" s="17"/>
      <c r="AU252" s="17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</row>
    <row r="253" spans="1:80" ht="16.149999999999999" customHeight="1" x14ac:dyDescent="0.25">
      <c r="A253" s="16"/>
      <c r="B253" s="16"/>
      <c r="C253" s="16"/>
      <c r="D253" s="16"/>
      <c r="E253" s="16"/>
      <c r="F253" s="16"/>
      <c r="G253" s="17"/>
      <c r="H253" s="17"/>
      <c r="I253" s="17"/>
      <c r="J253" s="17"/>
      <c r="K253" s="18" t="s">
        <v>663</v>
      </c>
      <c r="L253" s="18" t="s">
        <v>664</v>
      </c>
      <c r="M253" s="17"/>
      <c r="N253" s="17"/>
      <c r="O253" s="18" t="s">
        <v>663</v>
      </c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22">
        <v>85</v>
      </c>
      <c r="AO253" s="17"/>
      <c r="AP253" s="17"/>
      <c r="AQ253" s="17"/>
      <c r="AR253" s="17"/>
      <c r="AS253" s="17"/>
      <c r="AT253" s="17"/>
      <c r="AU253" s="17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</row>
    <row r="254" spans="1:80" ht="16.149999999999999" customHeight="1" x14ac:dyDescent="0.25">
      <c r="A254" s="16"/>
      <c r="B254" s="16"/>
      <c r="C254" s="16"/>
      <c r="D254" s="16"/>
      <c r="E254" s="16"/>
      <c r="F254" s="16"/>
      <c r="G254" s="17"/>
      <c r="H254" s="17"/>
      <c r="I254" s="17"/>
      <c r="J254" s="17"/>
      <c r="K254" s="18" t="s">
        <v>665</v>
      </c>
      <c r="L254" s="18" t="s">
        <v>666</v>
      </c>
      <c r="M254" s="17"/>
      <c r="N254" s="17"/>
      <c r="O254" s="18" t="s">
        <v>665</v>
      </c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22">
        <v>86</v>
      </c>
      <c r="AO254" s="17"/>
      <c r="AP254" s="17"/>
      <c r="AQ254" s="17"/>
      <c r="AR254" s="17"/>
      <c r="AS254" s="17"/>
      <c r="AT254" s="17"/>
      <c r="AU254" s="17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</row>
    <row r="255" spans="1:80" ht="16.149999999999999" customHeight="1" x14ac:dyDescent="0.25">
      <c r="A255" s="16"/>
      <c r="B255" s="16"/>
      <c r="C255" s="16"/>
      <c r="D255" s="16"/>
      <c r="E255" s="16"/>
      <c r="F255" s="16"/>
      <c r="G255" s="17"/>
      <c r="H255" s="17"/>
      <c r="I255" s="17"/>
      <c r="J255" s="17"/>
      <c r="K255" s="18" t="s">
        <v>667</v>
      </c>
      <c r="L255" s="18" t="s">
        <v>668</v>
      </c>
      <c r="M255" s="17"/>
      <c r="N255" s="17"/>
      <c r="O255" s="18" t="s">
        <v>667</v>
      </c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22">
        <v>87</v>
      </c>
      <c r="AO255" s="17"/>
      <c r="AP255" s="17"/>
      <c r="AQ255" s="17"/>
      <c r="AR255" s="17"/>
      <c r="AS255" s="17"/>
      <c r="AT255" s="17"/>
      <c r="AU255" s="17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</row>
    <row r="256" spans="1:80" ht="16.149999999999999" customHeight="1" x14ac:dyDescent="0.25">
      <c r="A256" s="16"/>
      <c r="B256" s="16"/>
      <c r="C256" s="16"/>
      <c r="D256" s="16"/>
      <c r="E256" s="16"/>
      <c r="F256" s="16"/>
      <c r="G256" s="17"/>
      <c r="H256" s="17"/>
      <c r="I256" s="17"/>
      <c r="J256" s="17"/>
      <c r="K256" s="18" t="s">
        <v>669</v>
      </c>
      <c r="L256" s="18" t="s">
        <v>670</v>
      </c>
      <c r="M256" s="17"/>
      <c r="N256" s="17"/>
      <c r="O256" s="18" t="s">
        <v>669</v>
      </c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22">
        <v>88</v>
      </c>
      <c r="AO256" s="17"/>
      <c r="AP256" s="17"/>
      <c r="AQ256" s="17"/>
      <c r="AR256" s="17"/>
      <c r="AS256" s="17"/>
      <c r="AT256" s="17"/>
      <c r="AU256" s="17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</row>
    <row r="257" spans="1:80" ht="16.149999999999999" customHeight="1" x14ac:dyDescent="0.25">
      <c r="A257" s="16"/>
      <c r="B257" s="16"/>
      <c r="C257" s="16"/>
      <c r="D257" s="16"/>
      <c r="E257" s="16"/>
      <c r="F257" s="16"/>
      <c r="G257" s="17"/>
      <c r="H257" s="17"/>
      <c r="I257" s="17"/>
      <c r="J257" s="17"/>
      <c r="K257" s="18" t="s">
        <v>671</v>
      </c>
      <c r="L257" s="18" t="s">
        <v>672</v>
      </c>
      <c r="M257" s="17"/>
      <c r="N257" s="17"/>
      <c r="O257" s="18" t="s">
        <v>671</v>
      </c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22">
        <v>89</v>
      </c>
      <c r="AO257" s="17"/>
      <c r="AP257" s="17"/>
      <c r="AQ257" s="17"/>
      <c r="AR257" s="17"/>
      <c r="AS257" s="17"/>
      <c r="AT257" s="17"/>
      <c r="AU257" s="17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</row>
    <row r="258" spans="1:80" ht="16.149999999999999" customHeight="1" x14ac:dyDescent="0.25">
      <c r="A258" s="16"/>
      <c r="B258" s="16"/>
      <c r="C258" s="16"/>
      <c r="D258" s="16"/>
      <c r="E258" s="16"/>
      <c r="F258" s="16"/>
      <c r="G258" s="17"/>
      <c r="H258" s="17"/>
      <c r="I258" s="17"/>
      <c r="J258" s="17"/>
      <c r="K258" s="18" t="s">
        <v>673</v>
      </c>
      <c r="L258" s="18" t="s">
        <v>674</v>
      </c>
      <c r="M258" s="17"/>
      <c r="N258" s="17"/>
      <c r="O258" s="18" t="s">
        <v>673</v>
      </c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22">
        <v>9</v>
      </c>
      <c r="AO258" s="17"/>
      <c r="AP258" s="17"/>
      <c r="AQ258" s="17"/>
      <c r="AR258" s="17"/>
      <c r="AS258" s="17"/>
      <c r="AT258" s="17"/>
      <c r="AU258" s="17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</row>
    <row r="259" spans="1:80" ht="16.149999999999999" customHeight="1" x14ac:dyDescent="0.25">
      <c r="A259" s="16"/>
      <c r="B259" s="16"/>
      <c r="C259" s="16"/>
      <c r="D259" s="16"/>
      <c r="E259" s="16"/>
      <c r="F259" s="16"/>
      <c r="G259" s="17"/>
      <c r="H259" s="17"/>
      <c r="I259" s="17"/>
      <c r="J259" s="17"/>
      <c r="K259" s="18" t="s">
        <v>675</v>
      </c>
      <c r="L259" s="18" t="s">
        <v>676</v>
      </c>
      <c r="M259" s="17"/>
      <c r="N259" s="17"/>
      <c r="O259" s="18" t="s">
        <v>675</v>
      </c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22">
        <v>90</v>
      </c>
      <c r="AO259" s="17"/>
      <c r="AP259" s="17"/>
      <c r="AQ259" s="17"/>
      <c r="AR259" s="17"/>
      <c r="AS259" s="17"/>
      <c r="AT259" s="17"/>
      <c r="AU259" s="17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</row>
    <row r="260" spans="1:80" ht="16.149999999999999" customHeight="1" x14ac:dyDescent="0.25">
      <c r="A260" s="16"/>
      <c r="B260" s="16"/>
      <c r="C260" s="16"/>
      <c r="D260" s="16"/>
      <c r="E260" s="16"/>
      <c r="F260" s="16"/>
      <c r="G260" s="17"/>
      <c r="H260" s="17"/>
      <c r="I260" s="17"/>
      <c r="J260" s="17"/>
      <c r="K260" s="17"/>
      <c r="L260" s="18" t="s">
        <v>677</v>
      </c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22">
        <v>9000</v>
      </c>
      <c r="AO260" s="17"/>
      <c r="AP260" s="17"/>
      <c r="AQ260" s="17"/>
      <c r="AR260" s="17"/>
      <c r="AS260" s="17"/>
      <c r="AT260" s="17"/>
      <c r="AU260" s="17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</row>
    <row r="261" spans="1:80" ht="16.149999999999999" customHeight="1" x14ac:dyDescent="0.25">
      <c r="A261" s="16"/>
      <c r="B261" s="16"/>
      <c r="C261" s="16"/>
      <c r="D261" s="16"/>
      <c r="E261" s="16"/>
      <c r="F261" s="16"/>
      <c r="G261" s="17"/>
      <c r="H261" s="17"/>
      <c r="I261" s="17"/>
      <c r="J261" s="17"/>
      <c r="K261" s="17"/>
      <c r="L261" s="18" t="s">
        <v>678</v>
      </c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22">
        <v>9001</v>
      </c>
      <c r="AO261" s="17"/>
      <c r="AP261" s="17"/>
      <c r="AQ261" s="17"/>
      <c r="AR261" s="17"/>
      <c r="AS261" s="17"/>
      <c r="AT261" s="17"/>
      <c r="AU261" s="17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</row>
    <row r="262" spans="1:80" ht="16.149999999999999" customHeight="1" x14ac:dyDescent="0.25">
      <c r="A262" s="16"/>
      <c r="B262" s="16"/>
      <c r="C262" s="16"/>
      <c r="D262" s="16"/>
      <c r="E262" s="16"/>
      <c r="F262" s="16"/>
      <c r="G262" s="17"/>
      <c r="H262" s="17"/>
      <c r="I262" s="17"/>
      <c r="J262" s="17"/>
      <c r="K262" s="17"/>
      <c r="L262" s="18" t="s">
        <v>679</v>
      </c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22">
        <v>9002</v>
      </c>
      <c r="AO262" s="17"/>
      <c r="AP262" s="17"/>
      <c r="AQ262" s="17"/>
      <c r="AR262" s="17"/>
      <c r="AS262" s="17"/>
      <c r="AT262" s="17"/>
      <c r="AU262" s="17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</row>
    <row r="263" spans="1:80" ht="16.149999999999999" customHeight="1" x14ac:dyDescent="0.25">
      <c r="A263" s="16"/>
      <c r="B263" s="16"/>
      <c r="C263" s="16"/>
      <c r="D263" s="16"/>
      <c r="E263" s="16"/>
      <c r="F263" s="16"/>
      <c r="G263" s="17"/>
      <c r="H263" s="17"/>
      <c r="I263" s="17"/>
      <c r="J263" s="17"/>
      <c r="K263" s="17"/>
      <c r="L263" s="18" t="s">
        <v>680</v>
      </c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22">
        <v>9003</v>
      </c>
      <c r="AO263" s="17"/>
      <c r="AP263" s="17"/>
      <c r="AQ263" s="17"/>
      <c r="AR263" s="17"/>
      <c r="AS263" s="17"/>
      <c r="AT263" s="17"/>
      <c r="AU263" s="17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</row>
    <row r="264" spans="1:80" ht="16.149999999999999" customHeight="1" x14ac:dyDescent="0.25">
      <c r="A264" s="16"/>
      <c r="B264" s="16"/>
      <c r="C264" s="16"/>
      <c r="D264" s="16"/>
      <c r="E264" s="16"/>
      <c r="F264" s="16"/>
      <c r="G264" s="17"/>
      <c r="H264" s="17"/>
      <c r="I264" s="17"/>
      <c r="J264" s="17"/>
      <c r="K264" s="17"/>
      <c r="L264" s="18" t="s">
        <v>681</v>
      </c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22">
        <v>9004</v>
      </c>
      <c r="AO264" s="17"/>
      <c r="AP264" s="17"/>
      <c r="AQ264" s="17"/>
      <c r="AR264" s="17"/>
      <c r="AS264" s="17"/>
      <c r="AT264" s="17"/>
      <c r="AU264" s="17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</row>
    <row r="265" spans="1:80" ht="16.149999999999999" customHeight="1" x14ac:dyDescent="0.25">
      <c r="A265" s="16"/>
      <c r="B265" s="16"/>
      <c r="C265" s="16"/>
      <c r="D265" s="16"/>
      <c r="E265" s="16"/>
      <c r="F265" s="16"/>
      <c r="G265" s="17"/>
      <c r="H265" s="17"/>
      <c r="I265" s="17"/>
      <c r="J265" s="17"/>
      <c r="K265" s="17"/>
      <c r="L265" s="18" t="s">
        <v>682</v>
      </c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22">
        <v>9005</v>
      </c>
      <c r="AO265" s="17"/>
      <c r="AP265" s="17"/>
      <c r="AQ265" s="17"/>
      <c r="AR265" s="17"/>
      <c r="AS265" s="17"/>
      <c r="AT265" s="17"/>
      <c r="AU265" s="17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</row>
    <row r="266" spans="1:80" ht="16.149999999999999" customHeight="1" x14ac:dyDescent="0.25">
      <c r="A266" s="16"/>
      <c r="B266" s="16"/>
      <c r="C266" s="16"/>
      <c r="D266" s="16"/>
      <c r="E266" s="16"/>
      <c r="F266" s="16"/>
      <c r="G266" s="17"/>
      <c r="H266" s="17"/>
      <c r="I266" s="17"/>
      <c r="J266" s="17"/>
      <c r="K266" s="17"/>
      <c r="L266" s="18" t="s">
        <v>683</v>
      </c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22">
        <v>9006</v>
      </c>
      <c r="AO266" s="17"/>
      <c r="AP266" s="17"/>
      <c r="AQ266" s="17"/>
      <c r="AR266" s="17"/>
      <c r="AS266" s="17"/>
      <c r="AT266" s="17"/>
      <c r="AU266" s="17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</row>
    <row r="267" spans="1:80" ht="16.149999999999999" customHeight="1" x14ac:dyDescent="0.25">
      <c r="A267" s="16"/>
      <c r="B267" s="16"/>
      <c r="C267" s="16"/>
      <c r="D267" s="16"/>
      <c r="E267" s="16"/>
      <c r="F267" s="16"/>
      <c r="G267" s="17"/>
      <c r="H267" s="17"/>
      <c r="I267" s="17"/>
      <c r="J267" s="17"/>
      <c r="K267" s="17"/>
      <c r="L267" s="18" t="s">
        <v>684</v>
      </c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22">
        <v>9007</v>
      </c>
      <c r="AO267" s="17"/>
      <c r="AP267" s="17"/>
      <c r="AQ267" s="17"/>
      <c r="AR267" s="17"/>
      <c r="AS267" s="17"/>
      <c r="AT267" s="17"/>
      <c r="AU267" s="17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</row>
    <row r="268" spans="1:80" ht="16.149999999999999" customHeight="1" x14ac:dyDescent="0.25">
      <c r="A268" s="16"/>
      <c r="B268" s="16"/>
      <c r="C268" s="16"/>
      <c r="D268" s="16"/>
      <c r="E268" s="16"/>
      <c r="F268" s="16"/>
      <c r="G268" s="17"/>
      <c r="H268" s="17"/>
      <c r="I268" s="17"/>
      <c r="J268" s="17"/>
      <c r="K268" s="17"/>
      <c r="L268" s="18" t="s">
        <v>685</v>
      </c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22">
        <v>9008</v>
      </c>
      <c r="AO268" s="17"/>
      <c r="AP268" s="17"/>
      <c r="AQ268" s="17"/>
      <c r="AR268" s="17"/>
      <c r="AS268" s="17"/>
      <c r="AT268" s="17"/>
      <c r="AU268" s="17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</row>
    <row r="269" spans="1:80" ht="16.149999999999999" customHeight="1" x14ac:dyDescent="0.25">
      <c r="A269" s="16"/>
      <c r="B269" s="16"/>
      <c r="C269" s="16"/>
      <c r="D269" s="16"/>
      <c r="E269" s="16"/>
      <c r="F269" s="16"/>
      <c r="G269" s="17"/>
      <c r="H269" s="17"/>
      <c r="I269" s="17"/>
      <c r="J269" s="17"/>
      <c r="K269" s="17"/>
      <c r="L269" s="18" t="s">
        <v>686</v>
      </c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22">
        <v>9009</v>
      </c>
      <c r="AO269" s="17"/>
      <c r="AP269" s="17"/>
      <c r="AQ269" s="17"/>
      <c r="AR269" s="17"/>
      <c r="AS269" s="17"/>
      <c r="AT269" s="17"/>
      <c r="AU269" s="17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</row>
    <row r="270" spans="1:80" ht="16.149999999999999" customHeight="1" x14ac:dyDescent="0.25">
      <c r="A270" s="16"/>
      <c r="B270" s="16"/>
      <c r="C270" s="16"/>
      <c r="D270" s="16"/>
      <c r="E270" s="16"/>
      <c r="F270" s="16"/>
      <c r="G270" s="17"/>
      <c r="H270" s="17"/>
      <c r="I270" s="17"/>
      <c r="J270" s="17"/>
      <c r="K270" s="17"/>
      <c r="L270" s="18" t="s">
        <v>687</v>
      </c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22">
        <v>9010</v>
      </c>
      <c r="AO270" s="17"/>
      <c r="AP270" s="17"/>
      <c r="AQ270" s="17"/>
      <c r="AR270" s="17"/>
      <c r="AS270" s="17"/>
      <c r="AT270" s="17"/>
      <c r="AU270" s="17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</row>
    <row r="271" spans="1:80" ht="16.149999999999999" customHeight="1" x14ac:dyDescent="0.25">
      <c r="A271" s="16"/>
      <c r="B271" s="16"/>
      <c r="C271" s="16"/>
      <c r="D271" s="16"/>
      <c r="E271" s="16"/>
      <c r="F271" s="16"/>
      <c r="G271" s="17"/>
      <c r="H271" s="17"/>
      <c r="I271" s="17"/>
      <c r="J271" s="17"/>
      <c r="K271" s="17"/>
      <c r="L271" s="18" t="s">
        <v>688</v>
      </c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22">
        <v>9011</v>
      </c>
      <c r="AO271" s="17"/>
      <c r="AP271" s="17"/>
      <c r="AQ271" s="17"/>
      <c r="AR271" s="17"/>
      <c r="AS271" s="17"/>
      <c r="AT271" s="17"/>
      <c r="AU271" s="17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</row>
    <row r="272" spans="1:80" ht="16.149999999999999" customHeight="1" x14ac:dyDescent="0.25">
      <c r="A272" s="16"/>
      <c r="B272" s="16"/>
      <c r="C272" s="16"/>
      <c r="D272" s="16"/>
      <c r="E272" s="16"/>
      <c r="F272" s="16"/>
      <c r="G272" s="17"/>
      <c r="H272" s="17"/>
      <c r="I272" s="17"/>
      <c r="J272" s="17"/>
      <c r="K272" s="17"/>
      <c r="L272" s="18" t="s">
        <v>689</v>
      </c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22">
        <v>9012</v>
      </c>
      <c r="AO272" s="17"/>
      <c r="AP272" s="17"/>
      <c r="AQ272" s="17"/>
      <c r="AR272" s="17"/>
      <c r="AS272" s="17"/>
      <c r="AT272" s="17"/>
      <c r="AU272" s="17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</row>
    <row r="273" spans="1:80" ht="16.149999999999999" customHeight="1" x14ac:dyDescent="0.25">
      <c r="A273" s="16"/>
      <c r="B273" s="16"/>
      <c r="C273" s="16"/>
      <c r="D273" s="16"/>
      <c r="E273" s="16"/>
      <c r="F273" s="16"/>
      <c r="G273" s="17"/>
      <c r="H273" s="17"/>
      <c r="I273" s="17"/>
      <c r="J273" s="17"/>
      <c r="K273" s="17"/>
      <c r="L273" s="18" t="s">
        <v>690</v>
      </c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22">
        <v>9013</v>
      </c>
      <c r="AO273" s="17"/>
      <c r="AP273" s="17"/>
      <c r="AQ273" s="17"/>
      <c r="AR273" s="17"/>
      <c r="AS273" s="17"/>
      <c r="AT273" s="17"/>
      <c r="AU273" s="17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</row>
    <row r="274" spans="1:80" ht="16.149999999999999" customHeight="1" x14ac:dyDescent="0.25">
      <c r="A274" s="16"/>
      <c r="B274" s="16"/>
      <c r="C274" s="16"/>
      <c r="D274" s="16"/>
      <c r="E274" s="16"/>
      <c r="F274" s="16"/>
      <c r="G274" s="17"/>
      <c r="H274" s="17"/>
      <c r="I274" s="17"/>
      <c r="J274" s="17"/>
      <c r="K274" s="17"/>
      <c r="L274" s="18" t="s">
        <v>691</v>
      </c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22">
        <v>9014</v>
      </c>
      <c r="AO274" s="17"/>
      <c r="AP274" s="17"/>
      <c r="AQ274" s="17"/>
      <c r="AR274" s="17"/>
      <c r="AS274" s="17"/>
      <c r="AT274" s="17"/>
      <c r="AU274" s="17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</row>
    <row r="275" spans="1:80" ht="16.149999999999999" customHeight="1" x14ac:dyDescent="0.25">
      <c r="A275" s="16"/>
      <c r="B275" s="16"/>
      <c r="C275" s="16"/>
      <c r="D275" s="16"/>
      <c r="E275" s="16"/>
      <c r="F275" s="16"/>
      <c r="G275" s="17"/>
      <c r="H275" s="17"/>
      <c r="I275" s="17"/>
      <c r="J275" s="17"/>
      <c r="K275" s="17"/>
      <c r="L275" s="18" t="s">
        <v>692</v>
      </c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22">
        <v>9015</v>
      </c>
      <c r="AO275" s="17"/>
      <c r="AP275" s="17"/>
      <c r="AQ275" s="17"/>
      <c r="AR275" s="17"/>
      <c r="AS275" s="17"/>
      <c r="AT275" s="17"/>
      <c r="AU275" s="17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</row>
    <row r="276" spans="1:80" ht="16.149999999999999" customHeight="1" x14ac:dyDescent="0.25">
      <c r="A276" s="16"/>
      <c r="B276" s="16"/>
      <c r="C276" s="16"/>
      <c r="D276" s="16"/>
      <c r="E276" s="16"/>
      <c r="F276" s="16"/>
      <c r="G276" s="17"/>
      <c r="H276" s="17"/>
      <c r="I276" s="17"/>
      <c r="J276" s="17"/>
      <c r="K276" s="17"/>
      <c r="L276" s="18" t="s">
        <v>693</v>
      </c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22">
        <v>91</v>
      </c>
      <c r="AO276" s="17"/>
      <c r="AP276" s="17"/>
      <c r="AQ276" s="17"/>
      <c r="AR276" s="17"/>
      <c r="AS276" s="17"/>
      <c r="AT276" s="17"/>
      <c r="AU276" s="17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</row>
    <row r="277" spans="1:80" ht="16.149999999999999" customHeight="1" x14ac:dyDescent="0.25">
      <c r="A277" s="16"/>
      <c r="B277" s="16"/>
      <c r="C277" s="16"/>
      <c r="D277" s="16"/>
      <c r="E277" s="16"/>
      <c r="F277" s="16"/>
      <c r="G277" s="17"/>
      <c r="H277" s="17"/>
      <c r="I277" s="17"/>
      <c r="J277" s="17"/>
      <c r="K277" s="17"/>
      <c r="L277" s="18" t="s">
        <v>694</v>
      </c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22">
        <v>92</v>
      </c>
      <c r="AO277" s="17"/>
      <c r="AP277" s="17"/>
      <c r="AQ277" s="17"/>
      <c r="AR277" s="17"/>
      <c r="AS277" s="17"/>
      <c r="AT277" s="17"/>
      <c r="AU277" s="17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</row>
    <row r="278" spans="1:80" ht="16.149999999999999" customHeight="1" x14ac:dyDescent="0.25">
      <c r="A278" s="16"/>
      <c r="B278" s="16"/>
      <c r="C278" s="16"/>
      <c r="D278" s="16"/>
      <c r="E278" s="16"/>
      <c r="F278" s="16"/>
      <c r="G278" s="17"/>
      <c r="H278" s="17"/>
      <c r="I278" s="17"/>
      <c r="J278" s="17"/>
      <c r="K278" s="17"/>
      <c r="L278" s="18" t="s">
        <v>695</v>
      </c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22">
        <v>93</v>
      </c>
      <c r="AO278" s="17"/>
      <c r="AP278" s="17"/>
      <c r="AQ278" s="17"/>
      <c r="AR278" s="17"/>
      <c r="AS278" s="17"/>
      <c r="AT278" s="17"/>
      <c r="AU278" s="17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</row>
    <row r="279" spans="1:80" ht="16.149999999999999" customHeight="1" x14ac:dyDescent="0.25">
      <c r="A279" s="16"/>
      <c r="B279" s="16"/>
      <c r="C279" s="16"/>
      <c r="D279" s="16"/>
      <c r="E279" s="16"/>
      <c r="F279" s="16"/>
      <c r="G279" s="17"/>
      <c r="H279" s="17"/>
      <c r="I279" s="17"/>
      <c r="J279" s="17"/>
      <c r="K279" s="17"/>
      <c r="L279" s="18" t="s">
        <v>696</v>
      </c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22">
        <v>94</v>
      </c>
      <c r="AO279" s="17"/>
      <c r="AP279" s="17"/>
      <c r="AQ279" s="17"/>
      <c r="AR279" s="17"/>
      <c r="AS279" s="17"/>
      <c r="AT279" s="17"/>
      <c r="AU279" s="17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</row>
    <row r="280" spans="1:80" ht="16.149999999999999" customHeight="1" x14ac:dyDescent="0.25">
      <c r="A280" s="16"/>
      <c r="B280" s="16"/>
      <c r="C280" s="16"/>
      <c r="D280" s="16"/>
      <c r="E280" s="16"/>
      <c r="F280" s="16"/>
      <c r="G280" s="17"/>
      <c r="H280" s="17"/>
      <c r="I280" s="17"/>
      <c r="J280" s="17"/>
      <c r="K280" s="17"/>
      <c r="L280" s="18" t="s">
        <v>697</v>
      </c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22">
        <v>95</v>
      </c>
      <c r="AO280" s="17"/>
      <c r="AP280" s="17"/>
      <c r="AQ280" s="17"/>
      <c r="AR280" s="17"/>
      <c r="AS280" s="17"/>
      <c r="AT280" s="17"/>
      <c r="AU280" s="17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</row>
    <row r="281" spans="1:80" ht="16.149999999999999" customHeight="1" x14ac:dyDescent="0.25">
      <c r="A281" s="16"/>
      <c r="B281" s="16"/>
      <c r="C281" s="16"/>
      <c r="D281" s="16"/>
      <c r="E281" s="16"/>
      <c r="F281" s="16"/>
      <c r="G281" s="17"/>
      <c r="H281" s="17"/>
      <c r="I281" s="17"/>
      <c r="J281" s="17"/>
      <c r="K281" s="17"/>
      <c r="L281" s="18" t="s">
        <v>698</v>
      </c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22">
        <v>96</v>
      </c>
      <c r="AO281" s="17"/>
      <c r="AP281" s="17"/>
      <c r="AQ281" s="17"/>
      <c r="AR281" s="17"/>
      <c r="AS281" s="17"/>
      <c r="AT281" s="17"/>
      <c r="AU281" s="17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</row>
    <row r="282" spans="1:80" ht="16.149999999999999" customHeight="1" x14ac:dyDescent="0.25">
      <c r="A282" s="16"/>
      <c r="B282" s="16"/>
      <c r="C282" s="16"/>
      <c r="D282" s="16"/>
      <c r="E282" s="16"/>
      <c r="F282" s="16"/>
      <c r="G282" s="17"/>
      <c r="H282" s="17"/>
      <c r="I282" s="17"/>
      <c r="J282" s="17"/>
      <c r="K282" s="17"/>
      <c r="L282" s="18" t="s">
        <v>699</v>
      </c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22">
        <v>97</v>
      </c>
      <c r="AO282" s="17"/>
      <c r="AP282" s="17"/>
      <c r="AQ282" s="17"/>
      <c r="AR282" s="17"/>
      <c r="AS282" s="17"/>
      <c r="AT282" s="17"/>
      <c r="AU282" s="17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</row>
    <row r="283" spans="1:80" ht="16.149999999999999" customHeight="1" x14ac:dyDescent="0.25">
      <c r="A283" s="16"/>
      <c r="B283" s="16"/>
      <c r="C283" s="16"/>
      <c r="D283" s="16"/>
      <c r="E283" s="16"/>
      <c r="F283" s="16"/>
      <c r="G283" s="17"/>
      <c r="H283" s="17"/>
      <c r="I283" s="17"/>
      <c r="J283" s="17"/>
      <c r="K283" s="17"/>
      <c r="L283" s="18" t="s">
        <v>700</v>
      </c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22">
        <v>98</v>
      </c>
      <c r="AO283" s="17"/>
      <c r="AP283" s="17"/>
      <c r="AQ283" s="17"/>
      <c r="AR283" s="17"/>
      <c r="AS283" s="17"/>
      <c r="AT283" s="17"/>
      <c r="AU283" s="17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</row>
    <row r="284" spans="1:80" ht="16.149999999999999" customHeight="1" x14ac:dyDescent="0.25">
      <c r="A284" s="16"/>
      <c r="B284" s="16"/>
      <c r="C284" s="16"/>
      <c r="D284" s="16"/>
      <c r="E284" s="16"/>
      <c r="F284" s="16"/>
      <c r="G284" s="17"/>
      <c r="H284" s="17"/>
      <c r="I284" s="17"/>
      <c r="J284" s="17"/>
      <c r="K284" s="17"/>
      <c r="L284" s="18" t="s">
        <v>701</v>
      </c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22">
        <v>99</v>
      </c>
      <c r="AO284" s="17"/>
      <c r="AP284" s="17"/>
      <c r="AQ284" s="17"/>
      <c r="AR284" s="17"/>
      <c r="AS284" s="17"/>
      <c r="AT284" s="17"/>
      <c r="AU284" s="17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</row>
    <row r="285" spans="1:80" ht="16.149999999999999" customHeight="1" x14ac:dyDescent="0.25">
      <c r="A285" s="16"/>
      <c r="B285" s="16"/>
      <c r="C285" s="16"/>
      <c r="D285" s="16"/>
      <c r="E285" s="16"/>
      <c r="F285" s="16"/>
      <c r="G285" s="17"/>
      <c r="H285" s="17"/>
      <c r="I285" s="17"/>
      <c r="J285" s="17"/>
      <c r="K285" s="17"/>
      <c r="L285" s="18" t="s">
        <v>702</v>
      </c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</row>
    <row r="286" spans="1:80" ht="16.149999999999999" customHeight="1" x14ac:dyDescent="0.25">
      <c r="A286" s="16"/>
      <c r="B286" s="16"/>
      <c r="C286" s="16"/>
      <c r="D286" s="16"/>
      <c r="E286" s="16"/>
      <c r="F286" s="16"/>
      <c r="G286" s="17"/>
      <c r="H286" s="17"/>
      <c r="I286" s="17"/>
      <c r="J286" s="17"/>
      <c r="K286" s="17"/>
      <c r="L286" s="18" t="s">
        <v>703</v>
      </c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</row>
    <row r="287" spans="1:80" ht="16.149999999999999" customHeight="1" x14ac:dyDescent="0.25">
      <c r="A287" s="16"/>
      <c r="B287" s="16"/>
      <c r="C287" s="16"/>
      <c r="D287" s="16"/>
      <c r="E287" s="16"/>
      <c r="F287" s="16"/>
      <c r="G287" s="17"/>
      <c r="H287" s="17"/>
      <c r="I287" s="17"/>
      <c r="J287" s="17"/>
      <c r="K287" s="17"/>
      <c r="L287" s="18" t="s">
        <v>704</v>
      </c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</row>
    <row r="288" spans="1:80" ht="16.149999999999999" customHeight="1" x14ac:dyDescent="0.25">
      <c r="A288" s="16"/>
      <c r="B288" s="16"/>
      <c r="C288" s="16"/>
      <c r="D288" s="16"/>
      <c r="E288" s="16"/>
      <c r="F288" s="16"/>
      <c r="G288" s="17"/>
      <c r="H288" s="17"/>
      <c r="I288" s="17"/>
      <c r="J288" s="17"/>
      <c r="K288" s="17"/>
      <c r="L288" s="18" t="s">
        <v>705</v>
      </c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</row>
    <row r="289" spans="1:80" ht="16.149999999999999" customHeight="1" x14ac:dyDescent="0.25">
      <c r="A289" s="16"/>
      <c r="B289" s="16"/>
      <c r="C289" s="16"/>
      <c r="D289" s="16"/>
      <c r="E289" s="16"/>
      <c r="F289" s="16"/>
      <c r="G289" s="17"/>
      <c r="H289" s="17"/>
      <c r="I289" s="17"/>
      <c r="J289" s="17"/>
      <c r="K289" s="17"/>
      <c r="L289" s="18" t="s">
        <v>706</v>
      </c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</row>
    <row r="290" spans="1:80" ht="16.149999999999999" customHeight="1" x14ac:dyDescent="0.25">
      <c r="A290" s="16"/>
      <c r="B290" s="16"/>
      <c r="C290" s="16"/>
      <c r="D290" s="16"/>
      <c r="E290" s="16"/>
      <c r="F290" s="16"/>
      <c r="G290" s="17"/>
      <c r="H290" s="17"/>
      <c r="I290" s="17"/>
      <c r="J290" s="17"/>
      <c r="K290" s="17"/>
      <c r="L290" s="18" t="s">
        <v>707</v>
      </c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</row>
    <row r="291" spans="1:80" ht="16.149999999999999" customHeight="1" x14ac:dyDescent="0.25">
      <c r="A291" s="16"/>
      <c r="B291" s="16"/>
      <c r="C291" s="16"/>
      <c r="D291" s="16"/>
      <c r="E291" s="16"/>
      <c r="F291" s="16"/>
      <c r="G291" s="17"/>
      <c r="H291" s="17"/>
      <c r="I291" s="17"/>
      <c r="J291" s="17"/>
      <c r="K291" s="17"/>
      <c r="L291" s="18" t="s">
        <v>708</v>
      </c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</row>
    <row r="292" spans="1:80" ht="16.149999999999999" customHeight="1" x14ac:dyDescent="0.25">
      <c r="A292" s="16"/>
      <c r="B292" s="16"/>
      <c r="C292" s="16"/>
      <c r="D292" s="16"/>
      <c r="E292" s="16"/>
      <c r="F292" s="16"/>
      <c r="G292" s="17"/>
      <c r="H292" s="17"/>
      <c r="I292" s="17"/>
      <c r="J292" s="17"/>
      <c r="K292" s="17"/>
      <c r="L292" s="18" t="s">
        <v>709</v>
      </c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</row>
    <row r="293" spans="1:80" ht="16.149999999999999" customHeight="1" x14ac:dyDescent="0.25">
      <c r="A293" s="16"/>
      <c r="B293" s="16"/>
      <c r="C293" s="16"/>
      <c r="D293" s="16"/>
      <c r="E293" s="16"/>
      <c r="F293" s="16"/>
      <c r="G293" s="17"/>
      <c r="H293" s="17"/>
      <c r="I293" s="17"/>
      <c r="J293" s="17"/>
      <c r="K293" s="17"/>
      <c r="L293" s="18" t="s">
        <v>710</v>
      </c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</row>
    <row r="294" spans="1:80" ht="16.149999999999999" customHeight="1" x14ac:dyDescent="0.25">
      <c r="A294" s="16"/>
      <c r="B294" s="16"/>
      <c r="C294" s="16"/>
      <c r="D294" s="16"/>
      <c r="E294" s="16"/>
      <c r="F294" s="16"/>
      <c r="G294" s="17"/>
      <c r="H294" s="17"/>
      <c r="I294" s="17"/>
      <c r="J294" s="17"/>
      <c r="K294" s="17"/>
      <c r="L294" s="18" t="s">
        <v>711</v>
      </c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</row>
    <row r="295" spans="1:80" ht="16.149999999999999" customHeight="1" x14ac:dyDescent="0.25">
      <c r="A295" s="16"/>
      <c r="B295" s="16"/>
      <c r="C295" s="16"/>
      <c r="D295" s="16"/>
      <c r="E295" s="16"/>
      <c r="F295" s="16"/>
      <c r="G295" s="17"/>
      <c r="H295" s="17"/>
      <c r="I295" s="17"/>
      <c r="J295" s="17"/>
      <c r="K295" s="17"/>
      <c r="L295" s="18" t="s">
        <v>712</v>
      </c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</row>
    <row r="296" spans="1:80" ht="16.149999999999999" customHeight="1" x14ac:dyDescent="0.25">
      <c r="A296" s="16"/>
      <c r="B296" s="16"/>
      <c r="C296" s="16"/>
      <c r="D296" s="16"/>
      <c r="E296" s="16"/>
      <c r="F296" s="16"/>
      <c r="G296" s="17"/>
      <c r="H296" s="17"/>
      <c r="I296" s="17"/>
      <c r="J296" s="17"/>
      <c r="K296" s="17"/>
      <c r="L296" s="18" t="s">
        <v>713</v>
      </c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</row>
    <row r="297" spans="1:80" ht="16.149999999999999" customHeight="1" x14ac:dyDescent="0.25">
      <c r="A297" s="16"/>
      <c r="B297" s="16"/>
      <c r="C297" s="16"/>
      <c r="D297" s="16"/>
      <c r="E297" s="16"/>
      <c r="F297" s="16"/>
      <c r="G297" s="17"/>
      <c r="H297" s="17"/>
      <c r="I297" s="17"/>
      <c r="J297" s="17"/>
      <c r="K297" s="17"/>
      <c r="L297" s="18" t="s">
        <v>714</v>
      </c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</row>
    <row r="298" spans="1:80" ht="16.149999999999999" customHeight="1" x14ac:dyDescent="0.25">
      <c r="A298" s="16"/>
      <c r="B298" s="16"/>
      <c r="C298" s="16"/>
      <c r="D298" s="16"/>
      <c r="E298" s="16"/>
      <c r="F298" s="16"/>
      <c r="G298" s="17"/>
      <c r="H298" s="17"/>
      <c r="I298" s="17"/>
      <c r="J298" s="17"/>
      <c r="K298" s="17"/>
      <c r="L298" s="18" t="s">
        <v>715</v>
      </c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</row>
    <row r="299" spans="1:80" ht="16.149999999999999" customHeight="1" x14ac:dyDescent="0.25">
      <c r="A299" s="16"/>
      <c r="B299" s="16"/>
      <c r="C299" s="16"/>
      <c r="D299" s="16"/>
      <c r="E299" s="16"/>
      <c r="F299" s="16"/>
      <c r="G299" s="17"/>
      <c r="H299" s="17"/>
      <c r="I299" s="17"/>
      <c r="J299" s="17"/>
      <c r="K299" s="17"/>
      <c r="L299" s="18" t="s">
        <v>716</v>
      </c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</row>
    <row r="300" spans="1:80" ht="16.149999999999999" customHeight="1" x14ac:dyDescent="0.25">
      <c r="A300" s="16"/>
      <c r="B300" s="16"/>
      <c r="C300" s="16"/>
      <c r="D300" s="16"/>
      <c r="E300" s="16"/>
      <c r="F300" s="16"/>
      <c r="G300" s="17"/>
      <c r="H300" s="17"/>
      <c r="I300" s="17"/>
      <c r="J300" s="17"/>
      <c r="K300" s="17"/>
      <c r="L300" s="18" t="s">
        <v>717</v>
      </c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</row>
    <row r="301" spans="1:80" ht="16.149999999999999" customHeight="1" x14ac:dyDescent="0.25">
      <c r="A301" s="16"/>
      <c r="B301" s="16"/>
      <c r="C301" s="16"/>
      <c r="D301" s="16"/>
      <c r="E301" s="16"/>
      <c r="F301" s="16"/>
      <c r="G301" s="17"/>
      <c r="H301" s="17"/>
      <c r="I301" s="17"/>
      <c r="J301" s="17"/>
      <c r="K301" s="17"/>
      <c r="L301" s="18" t="s">
        <v>718</v>
      </c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</row>
    <row r="302" spans="1:80" ht="16.149999999999999" customHeight="1" x14ac:dyDescent="0.25">
      <c r="A302" s="16"/>
      <c r="B302" s="16"/>
      <c r="C302" s="16"/>
      <c r="D302" s="16"/>
      <c r="E302" s="16"/>
      <c r="F302" s="16"/>
      <c r="G302" s="17"/>
      <c r="H302" s="17"/>
      <c r="I302" s="17"/>
      <c r="J302" s="17"/>
      <c r="K302" s="17"/>
      <c r="L302" s="18" t="s">
        <v>719</v>
      </c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</row>
    <row r="303" spans="1:80" ht="16.149999999999999" customHeight="1" x14ac:dyDescent="0.25">
      <c r="A303" s="16"/>
      <c r="B303" s="16"/>
      <c r="C303" s="16"/>
      <c r="D303" s="16"/>
      <c r="E303" s="16"/>
      <c r="F303" s="16"/>
      <c r="G303" s="17"/>
      <c r="H303" s="17"/>
      <c r="I303" s="17"/>
      <c r="J303" s="17"/>
      <c r="K303" s="17"/>
      <c r="L303" s="18" t="s">
        <v>720</v>
      </c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</row>
    <row r="304" spans="1:80" ht="16.149999999999999" customHeight="1" x14ac:dyDescent="0.25">
      <c r="A304" s="16"/>
      <c r="B304" s="16"/>
      <c r="C304" s="16"/>
      <c r="D304" s="16"/>
      <c r="E304" s="16"/>
      <c r="F304" s="16"/>
      <c r="G304" s="17"/>
      <c r="H304" s="17"/>
      <c r="I304" s="17"/>
      <c r="J304" s="17"/>
      <c r="K304" s="17"/>
      <c r="L304" s="18" t="s">
        <v>721</v>
      </c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</row>
    <row r="305" spans="1:80" ht="16.149999999999999" customHeight="1" x14ac:dyDescent="0.25">
      <c r="A305" s="16"/>
      <c r="B305" s="16"/>
      <c r="C305" s="16"/>
      <c r="D305" s="16"/>
      <c r="E305" s="16"/>
      <c r="F305" s="16"/>
      <c r="G305" s="17"/>
      <c r="H305" s="17"/>
      <c r="I305" s="17"/>
      <c r="J305" s="17"/>
      <c r="K305" s="17"/>
      <c r="L305" s="18" t="s">
        <v>722</v>
      </c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</row>
    <row r="306" spans="1:80" ht="16.149999999999999" customHeight="1" x14ac:dyDescent="0.25">
      <c r="A306" s="16"/>
      <c r="B306" s="16"/>
      <c r="C306" s="16"/>
      <c r="D306" s="16"/>
      <c r="E306" s="16"/>
      <c r="F306" s="16"/>
      <c r="G306" s="17"/>
      <c r="H306" s="17"/>
      <c r="I306" s="17"/>
      <c r="J306" s="17"/>
      <c r="K306" s="17"/>
      <c r="L306" s="18" t="s">
        <v>723</v>
      </c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</row>
    <row r="307" spans="1:80" ht="16.149999999999999" customHeight="1" x14ac:dyDescent="0.25">
      <c r="A307" s="16"/>
      <c r="B307" s="16"/>
      <c r="C307" s="16"/>
      <c r="D307" s="16"/>
      <c r="E307" s="16"/>
      <c r="F307" s="16"/>
      <c r="G307" s="17"/>
      <c r="H307" s="17"/>
      <c r="I307" s="17"/>
      <c r="J307" s="17"/>
      <c r="K307" s="17"/>
      <c r="L307" s="18" t="s">
        <v>724</v>
      </c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</row>
    <row r="308" spans="1:80" ht="16.149999999999999" customHeight="1" x14ac:dyDescent="0.25">
      <c r="A308" s="16"/>
      <c r="B308" s="16"/>
      <c r="C308" s="16"/>
      <c r="D308" s="16"/>
      <c r="E308" s="16"/>
      <c r="F308" s="16"/>
      <c r="G308" s="17"/>
      <c r="H308" s="17"/>
      <c r="I308" s="17"/>
      <c r="J308" s="17"/>
      <c r="K308" s="17"/>
      <c r="L308" s="18" t="s">
        <v>725</v>
      </c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</row>
    <row r="309" spans="1:80" ht="16.149999999999999" customHeight="1" x14ac:dyDescent="0.25">
      <c r="A309" s="16"/>
      <c r="B309" s="16"/>
      <c r="C309" s="16"/>
      <c r="D309" s="16"/>
      <c r="E309" s="16"/>
      <c r="F309" s="16"/>
      <c r="G309" s="17"/>
      <c r="H309" s="17"/>
      <c r="I309" s="17"/>
      <c r="J309" s="17"/>
      <c r="K309" s="17"/>
      <c r="L309" s="18" t="s">
        <v>726</v>
      </c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</row>
    <row r="310" spans="1:80" ht="16.149999999999999" customHeight="1" x14ac:dyDescent="0.25">
      <c r="A310" s="16"/>
      <c r="B310" s="16"/>
      <c r="C310" s="16"/>
      <c r="D310" s="16"/>
      <c r="E310" s="16"/>
      <c r="F310" s="16"/>
      <c r="G310" s="17"/>
      <c r="H310" s="17"/>
      <c r="I310" s="17"/>
      <c r="J310" s="17"/>
      <c r="K310" s="17"/>
      <c r="L310" s="18" t="s">
        <v>727</v>
      </c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</row>
    <row r="311" spans="1:80" ht="16.149999999999999" customHeight="1" x14ac:dyDescent="0.25">
      <c r="A311" s="16"/>
      <c r="B311" s="16"/>
      <c r="C311" s="16"/>
      <c r="D311" s="16"/>
      <c r="E311" s="16"/>
      <c r="F311" s="16"/>
      <c r="G311" s="17"/>
      <c r="H311" s="17"/>
      <c r="I311" s="17"/>
      <c r="J311" s="17"/>
      <c r="K311" s="17"/>
      <c r="L311" s="18" t="s">
        <v>728</v>
      </c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</row>
    <row r="312" spans="1:80" ht="16.149999999999999" customHeight="1" x14ac:dyDescent="0.25">
      <c r="A312" s="16"/>
      <c r="B312" s="16"/>
      <c r="C312" s="16"/>
      <c r="D312" s="16"/>
      <c r="E312" s="16"/>
      <c r="F312" s="16"/>
      <c r="G312" s="17"/>
      <c r="H312" s="17"/>
      <c r="I312" s="17"/>
      <c r="J312" s="17"/>
      <c r="K312" s="17"/>
      <c r="L312" s="18" t="s">
        <v>729</v>
      </c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</row>
    <row r="313" spans="1:80" ht="16.149999999999999" customHeight="1" x14ac:dyDescent="0.25">
      <c r="A313" s="16"/>
      <c r="B313" s="16"/>
      <c r="C313" s="16"/>
      <c r="D313" s="16"/>
      <c r="E313" s="16"/>
      <c r="F313" s="16"/>
      <c r="G313" s="17"/>
      <c r="H313" s="17"/>
      <c r="I313" s="17"/>
      <c r="J313" s="17"/>
      <c r="K313" s="17"/>
      <c r="L313" s="18" t="s">
        <v>730</v>
      </c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</row>
    <row r="314" spans="1:80" ht="16.149999999999999" customHeight="1" x14ac:dyDescent="0.25">
      <c r="A314" s="16"/>
      <c r="B314" s="16"/>
      <c r="C314" s="16"/>
      <c r="D314" s="16"/>
      <c r="E314" s="16"/>
      <c r="F314" s="16"/>
      <c r="G314" s="17"/>
      <c r="H314" s="17"/>
      <c r="I314" s="17"/>
      <c r="J314" s="17"/>
      <c r="K314" s="17"/>
      <c r="L314" s="18" t="s">
        <v>731</v>
      </c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</row>
    <row r="315" spans="1:80" ht="16.149999999999999" customHeight="1" x14ac:dyDescent="0.25">
      <c r="A315" s="16"/>
      <c r="B315" s="16"/>
      <c r="C315" s="16"/>
      <c r="D315" s="16"/>
      <c r="E315" s="16"/>
      <c r="F315" s="16"/>
      <c r="G315" s="17"/>
      <c r="H315" s="17"/>
      <c r="I315" s="17"/>
      <c r="J315" s="17"/>
      <c r="K315" s="17"/>
      <c r="L315" s="18" t="s">
        <v>732</v>
      </c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</row>
    <row r="316" spans="1:80" ht="16.149999999999999" customHeight="1" x14ac:dyDescent="0.25">
      <c r="A316" s="16"/>
      <c r="B316" s="16"/>
      <c r="C316" s="16"/>
      <c r="D316" s="16"/>
      <c r="E316" s="16"/>
      <c r="F316" s="16"/>
      <c r="G316" s="17"/>
      <c r="H316" s="17"/>
      <c r="I316" s="17"/>
      <c r="J316" s="17"/>
      <c r="K316" s="17"/>
      <c r="L316" s="18" t="s">
        <v>733</v>
      </c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</row>
    <row r="317" spans="1:80" ht="16.149999999999999" customHeight="1" x14ac:dyDescent="0.25">
      <c r="A317" s="16"/>
      <c r="B317" s="16"/>
      <c r="C317" s="16"/>
      <c r="D317" s="16"/>
      <c r="E317" s="16"/>
      <c r="F317" s="16"/>
      <c r="G317" s="17"/>
      <c r="H317" s="17"/>
      <c r="I317" s="17"/>
      <c r="J317" s="17"/>
      <c r="K317" s="17"/>
      <c r="L317" s="18" t="s">
        <v>734</v>
      </c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</row>
    <row r="318" spans="1:80" ht="16.149999999999999" customHeight="1" x14ac:dyDescent="0.25">
      <c r="A318" s="16"/>
      <c r="B318" s="16"/>
      <c r="C318" s="16"/>
      <c r="D318" s="16"/>
      <c r="E318" s="16"/>
      <c r="F318" s="16"/>
      <c r="G318" s="17"/>
      <c r="H318" s="17"/>
      <c r="I318" s="17"/>
      <c r="J318" s="17"/>
      <c r="K318" s="17"/>
      <c r="L318" s="18" t="s">
        <v>735</v>
      </c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</row>
    <row r="319" spans="1:80" ht="16.149999999999999" customHeight="1" x14ac:dyDescent="0.25">
      <c r="A319" s="16"/>
      <c r="B319" s="16"/>
      <c r="C319" s="16"/>
      <c r="D319" s="16"/>
      <c r="E319" s="16"/>
      <c r="F319" s="16"/>
      <c r="G319" s="17"/>
      <c r="H319" s="17"/>
      <c r="I319" s="17"/>
      <c r="J319" s="17"/>
      <c r="K319" s="17"/>
      <c r="L319" s="18" t="s">
        <v>736</v>
      </c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</row>
    <row r="320" spans="1:80" ht="16.149999999999999" customHeight="1" x14ac:dyDescent="0.25">
      <c r="A320" s="16"/>
      <c r="B320" s="16"/>
      <c r="C320" s="16"/>
      <c r="D320" s="16"/>
      <c r="E320" s="16"/>
      <c r="F320" s="16"/>
      <c r="G320" s="17"/>
      <c r="H320" s="17"/>
      <c r="I320" s="17"/>
      <c r="J320" s="17"/>
      <c r="K320" s="17"/>
      <c r="L320" s="18" t="s">
        <v>737</v>
      </c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</row>
    <row r="321" spans="1:80" ht="16.149999999999999" customHeight="1" x14ac:dyDescent="0.25">
      <c r="A321" s="16"/>
      <c r="B321" s="16"/>
      <c r="C321" s="16"/>
      <c r="D321" s="16"/>
      <c r="E321" s="16"/>
      <c r="F321" s="16"/>
      <c r="G321" s="17"/>
      <c r="H321" s="17"/>
      <c r="I321" s="17"/>
      <c r="J321" s="17"/>
      <c r="K321" s="17"/>
      <c r="L321" s="18" t="s">
        <v>738</v>
      </c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</row>
    <row r="322" spans="1:80" ht="16.149999999999999" customHeight="1" x14ac:dyDescent="0.25">
      <c r="A322" s="16"/>
      <c r="B322" s="16"/>
      <c r="C322" s="16"/>
      <c r="D322" s="16"/>
      <c r="E322" s="16"/>
      <c r="F322" s="16"/>
      <c r="G322" s="17"/>
      <c r="H322" s="17"/>
      <c r="I322" s="17"/>
      <c r="J322" s="17"/>
      <c r="K322" s="17"/>
      <c r="L322" s="18" t="s">
        <v>739</v>
      </c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</row>
    <row r="323" spans="1:80" ht="16.149999999999999" customHeight="1" x14ac:dyDescent="0.25">
      <c r="A323" s="16"/>
      <c r="B323" s="16"/>
      <c r="C323" s="16"/>
      <c r="D323" s="16"/>
      <c r="E323" s="16"/>
      <c r="F323" s="16"/>
      <c r="G323" s="17"/>
      <c r="H323" s="17"/>
      <c r="I323" s="17"/>
      <c r="J323" s="17"/>
      <c r="K323" s="17"/>
      <c r="L323" s="18" t="s">
        <v>740</v>
      </c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</row>
    <row r="324" spans="1:80" ht="16.149999999999999" customHeight="1" x14ac:dyDescent="0.25">
      <c r="A324" s="16"/>
      <c r="B324" s="16"/>
      <c r="C324" s="16"/>
      <c r="D324" s="16"/>
      <c r="E324" s="16"/>
      <c r="F324" s="16"/>
      <c r="G324" s="17"/>
      <c r="H324" s="17"/>
      <c r="I324" s="17"/>
      <c r="J324" s="17"/>
      <c r="K324" s="17"/>
      <c r="L324" s="18" t="s">
        <v>741</v>
      </c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</row>
    <row r="325" spans="1:80" ht="16.149999999999999" customHeight="1" x14ac:dyDescent="0.25">
      <c r="A325" s="16"/>
      <c r="B325" s="16"/>
      <c r="C325" s="16"/>
      <c r="D325" s="16"/>
      <c r="E325" s="16"/>
      <c r="F325" s="16"/>
      <c r="G325" s="17"/>
      <c r="H325" s="17"/>
      <c r="I325" s="17"/>
      <c r="J325" s="17"/>
      <c r="K325" s="17"/>
      <c r="L325" s="18" t="s">
        <v>742</v>
      </c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</row>
    <row r="326" spans="1:80" ht="16.149999999999999" customHeight="1" x14ac:dyDescent="0.25">
      <c r="A326" s="16"/>
      <c r="B326" s="16"/>
      <c r="C326" s="16"/>
      <c r="D326" s="16"/>
      <c r="E326" s="16"/>
      <c r="F326" s="16"/>
      <c r="G326" s="17"/>
      <c r="H326" s="17"/>
      <c r="I326" s="17"/>
      <c r="J326" s="17"/>
      <c r="K326" s="17"/>
      <c r="L326" s="18" t="s">
        <v>743</v>
      </c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</row>
    <row r="327" spans="1:80" ht="16.149999999999999" customHeight="1" x14ac:dyDescent="0.25">
      <c r="A327" s="16"/>
      <c r="B327" s="16"/>
      <c r="C327" s="16"/>
      <c r="D327" s="16"/>
      <c r="E327" s="16"/>
      <c r="F327" s="16"/>
      <c r="G327" s="17"/>
      <c r="H327" s="17"/>
      <c r="I327" s="17"/>
      <c r="J327" s="17"/>
      <c r="K327" s="17"/>
      <c r="L327" s="18" t="s">
        <v>744</v>
      </c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</row>
    <row r="328" spans="1:80" ht="16.149999999999999" customHeight="1" x14ac:dyDescent="0.25">
      <c r="A328" s="16"/>
      <c r="B328" s="16"/>
      <c r="C328" s="16"/>
      <c r="D328" s="16"/>
      <c r="E328" s="16"/>
      <c r="F328" s="16"/>
      <c r="G328" s="17"/>
      <c r="H328" s="17"/>
      <c r="I328" s="17"/>
      <c r="J328" s="17"/>
      <c r="K328" s="17"/>
      <c r="L328" s="18" t="s">
        <v>745</v>
      </c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</row>
    <row r="329" spans="1:80" ht="16.149999999999999" customHeight="1" x14ac:dyDescent="0.25">
      <c r="A329" s="16"/>
      <c r="B329" s="16"/>
      <c r="C329" s="16"/>
      <c r="D329" s="16"/>
      <c r="E329" s="16"/>
      <c r="F329" s="16"/>
      <c r="G329" s="17"/>
      <c r="H329" s="17"/>
      <c r="I329" s="17"/>
      <c r="J329" s="17"/>
      <c r="K329" s="17"/>
      <c r="L329" s="18" t="s">
        <v>746</v>
      </c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</row>
    <row r="330" spans="1:80" ht="16.149999999999999" customHeight="1" x14ac:dyDescent="0.25">
      <c r="A330" s="16"/>
      <c r="B330" s="16"/>
      <c r="C330" s="16"/>
      <c r="D330" s="16"/>
      <c r="E330" s="16"/>
      <c r="F330" s="16"/>
      <c r="G330" s="17"/>
      <c r="H330" s="17"/>
      <c r="I330" s="17"/>
      <c r="J330" s="17"/>
      <c r="K330" s="17"/>
      <c r="L330" s="18" t="s">
        <v>747</v>
      </c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</row>
    <row r="331" spans="1:80" ht="16.149999999999999" customHeight="1" x14ac:dyDescent="0.25">
      <c r="A331" s="16"/>
      <c r="B331" s="16"/>
      <c r="C331" s="16"/>
      <c r="D331" s="16"/>
      <c r="E331" s="16"/>
      <c r="F331" s="16"/>
      <c r="G331" s="17"/>
      <c r="H331" s="17"/>
      <c r="I331" s="17"/>
      <c r="J331" s="17"/>
      <c r="K331" s="17"/>
      <c r="L331" s="18" t="s">
        <v>748</v>
      </c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</row>
    <row r="332" spans="1:80" ht="16.149999999999999" customHeight="1" x14ac:dyDescent="0.25">
      <c r="A332" s="16"/>
      <c r="B332" s="16"/>
      <c r="C332" s="16"/>
      <c r="D332" s="16"/>
      <c r="E332" s="16"/>
      <c r="F332" s="16"/>
      <c r="G332" s="17"/>
      <c r="H332" s="17"/>
      <c r="I332" s="17"/>
      <c r="J332" s="17"/>
      <c r="K332" s="17"/>
      <c r="L332" s="18" t="s">
        <v>749</v>
      </c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</row>
    <row r="333" spans="1:80" ht="16.149999999999999" customHeight="1" x14ac:dyDescent="0.25">
      <c r="A333" s="16"/>
      <c r="B333" s="16"/>
      <c r="C333" s="16"/>
      <c r="D333" s="16"/>
      <c r="E333" s="16"/>
      <c r="F333" s="16"/>
      <c r="G333" s="17"/>
      <c r="H333" s="17"/>
      <c r="I333" s="17"/>
      <c r="J333" s="17"/>
      <c r="K333" s="17"/>
      <c r="L333" s="18" t="s">
        <v>750</v>
      </c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</row>
    <row r="334" spans="1:80" ht="16.149999999999999" customHeight="1" x14ac:dyDescent="0.25">
      <c r="A334" s="16"/>
      <c r="B334" s="16"/>
      <c r="C334" s="16"/>
      <c r="D334" s="16"/>
      <c r="E334" s="16"/>
      <c r="F334" s="16"/>
      <c r="G334" s="17"/>
      <c r="H334" s="17"/>
      <c r="I334" s="17"/>
      <c r="J334" s="17"/>
      <c r="K334" s="17"/>
      <c r="L334" s="18" t="s">
        <v>751</v>
      </c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</row>
    <row r="335" spans="1:80" ht="16.149999999999999" customHeight="1" x14ac:dyDescent="0.25">
      <c r="A335" s="16"/>
      <c r="B335" s="16"/>
      <c r="C335" s="16"/>
      <c r="D335" s="16"/>
      <c r="E335" s="16"/>
      <c r="F335" s="16"/>
      <c r="G335" s="17"/>
      <c r="H335" s="17"/>
      <c r="I335" s="17"/>
      <c r="J335" s="17"/>
      <c r="K335" s="17"/>
      <c r="L335" s="18" t="s">
        <v>752</v>
      </c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</row>
    <row r="336" spans="1:80" ht="16.149999999999999" customHeight="1" x14ac:dyDescent="0.25">
      <c r="A336" s="16"/>
      <c r="B336" s="16"/>
      <c r="C336" s="16"/>
      <c r="D336" s="16"/>
      <c r="E336" s="16"/>
      <c r="F336" s="16"/>
      <c r="G336" s="17"/>
      <c r="H336" s="17"/>
      <c r="I336" s="17"/>
      <c r="J336" s="17"/>
      <c r="K336" s="17"/>
      <c r="L336" s="18" t="s">
        <v>753</v>
      </c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</row>
    <row r="337" spans="1:80" ht="16.149999999999999" customHeight="1" x14ac:dyDescent="0.25">
      <c r="A337" s="16"/>
      <c r="B337" s="16"/>
      <c r="C337" s="16"/>
      <c r="D337" s="16"/>
      <c r="E337" s="16"/>
      <c r="F337" s="16"/>
      <c r="G337" s="17"/>
      <c r="H337" s="17"/>
      <c r="I337" s="17"/>
      <c r="J337" s="17"/>
      <c r="K337" s="17"/>
      <c r="L337" s="18" t="s">
        <v>754</v>
      </c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</row>
    <row r="338" spans="1:80" ht="16.149999999999999" customHeight="1" x14ac:dyDescent="0.25">
      <c r="A338" s="16"/>
      <c r="B338" s="16"/>
      <c r="C338" s="16"/>
      <c r="D338" s="16"/>
      <c r="E338" s="16"/>
      <c r="F338" s="16"/>
      <c r="G338" s="17"/>
      <c r="H338" s="17"/>
      <c r="I338" s="17"/>
      <c r="J338" s="17"/>
      <c r="K338" s="17"/>
      <c r="L338" s="18" t="s">
        <v>755</v>
      </c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</row>
    <row r="339" spans="1:80" ht="16.149999999999999" customHeight="1" x14ac:dyDescent="0.25">
      <c r="A339" s="16"/>
      <c r="B339" s="16"/>
      <c r="C339" s="16"/>
      <c r="D339" s="16"/>
      <c r="E339" s="16"/>
      <c r="F339" s="16"/>
      <c r="G339" s="17"/>
      <c r="H339" s="17"/>
      <c r="I339" s="17"/>
      <c r="J339" s="17"/>
      <c r="K339" s="17"/>
      <c r="L339" s="18" t="s">
        <v>756</v>
      </c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</row>
    <row r="340" spans="1:80" ht="16.149999999999999" customHeight="1" x14ac:dyDescent="0.25">
      <c r="A340" s="16"/>
      <c r="B340" s="16"/>
      <c r="C340" s="16"/>
      <c r="D340" s="16"/>
      <c r="E340" s="16"/>
      <c r="F340" s="16"/>
      <c r="G340" s="17"/>
      <c r="H340" s="17"/>
      <c r="I340" s="17"/>
      <c r="J340" s="17"/>
      <c r="K340" s="17"/>
      <c r="L340" s="18" t="s">
        <v>757</v>
      </c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</row>
    <row r="341" spans="1:80" ht="16.149999999999999" customHeight="1" x14ac:dyDescent="0.25">
      <c r="A341" s="16"/>
      <c r="B341" s="16"/>
      <c r="C341" s="16"/>
      <c r="D341" s="16"/>
      <c r="E341" s="16"/>
      <c r="F341" s="16"/>
      <c r="G341" s="17"/>
      <c r="H341" s="17"/>
      <c r="I341" s="17"/>
      <c r="J341" s="17"/>
      <c r="K341" s="17"/>
      <c r="L341" s="18" t="s">
        <v>758</v>
      </c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</row>
    <row r="342" spans="1:80" ht="16.149999999999999" customHeight="1" x14ac:dyDescent="0.25">
      <c r="A342" s="16"/>
      <c r="B342" s="16"/>
      <c r="C342" s="16"/>
      <c r="D342" s="16"/>
      <c r="E342" s="16"/>
      <c r="F342" s="16"/>
      <c r="G342" s="17"/>
      <c r="H342" s="17"/>
      <c r="I342" s="17"/>
      <c r="J342" s="17"/>
      <c r="K342" s="17"/>
      <c r="L342" s="18" t="s">
        <v>759</v>
      </c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</row>
    <row r="343" spans="1:80" ht="16.149999999999999" customHeight="1" x14ac:dyDescent="0.25">
      <c r="A343" s="16"/>
      <c r="B343" s="16"/>
      <c r="C343" s="16"/>
      <c r="D343" s="16"/>
      <c r="E343" s="16"/>
      <c r="F343" s="16"/>
      <c r="G343" s="17"/>
      <c r="H343" s="17"/>
      <c r="I343" s="17"/>
      <c r="J343" s="17"/>
      <c r="K343" s="17"/>
      <c r="L343" s="18" t="s">
        <v>760</v>
      </c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</row>
    <row r="344" spans="1:80" ht="16.149999999999999" customHeight="1" x14ac:dyDescent="0.25">
      <c r="A344" s="16"/>
      <c r="B344" s="16"/>
      <c r="C344" s="16"/>
      <c r="D344" s="16"/>
      <c r="E344" s="16"/>
      <c r="F344" s="16"/>
      <c r="G344" s="17"/>
      <c r="H344" s="17"/>
      <c r="I344" s="17"/>
      <c r="J344" s="17"/>
      <c r="K344" s="17"/>
      <c r="L344" s="18" t="s">
        <v>761</v>
      </c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</row>
    <row r="345" spans="1:80" ht="16.149999999999999" customHeight="1" x14ac:dyDescent="0.25">
      <c r="A345" s="16"/>
      <c r="B345" s="16"/>
      <c r="C345" s="16"/>
      <c r="D345" s="16"/>
      <c r="E345" s="16"/>
      <c r="F345" s="16"/>
      <c r="G345" s="17"/>
      <c r="H345" s="17"/>
      <c r="I345" s="17"/>
      <c r="J345" s="17"/>
      <c r="K345" s="17"/>
      <c r="L345" s="18" t="s">
        <v>762</v>
      </c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</row>
    <row r="346" spans="1:80" ht="16.149999999999999" customHeight="1" x14ac:dyDescent="0.25">
      <c r="A346" s="16"/>
      <c r="B346" s="16"/>
      <c r="C346" s="16"/>
      <c r="D346" s="16"/>
      <c r="E346" s="16"/>
      <c r="F346" s="16"/>
      <c r="G346" s="17"/>
      <c r="H346" s="17"/>
      <c r="I346" s="17"/>
      <c r="J346" s="17"/>
      <c r="K346" s="17"/>
      <c r="L346" s="18" t="s">
        <v>763</v>
      </c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</row>
    <row r="347" spans="1:80" ht="16.149999999999999" customHeight="1" x14ac:dyDescent="0.25">
      <c r="A347" s="16"/>
      <c r="B347" s="16"/>
      <c r="C347" s="16"/>
      <c r="D347" s="16"/>
      <c r="E347" s="16"/>
      <c r="F347" s="16"/>
      <c r="G347" s="17"/>
      <c r="H347" s="17"/>
      <c r="I347" s="17"/>
      <c r="J347" s="17"/>
      <c r="K347" s="17"/>
      <c r="L347" s="18" t="s">
        <v>764</v>
      </c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</row>
    <row r="348" spans="1:80" ht="16.149999999999999" customHeight="1" x14ac:dyDescent="0.25">
      <c r="A348" s="16"/>
      <c r="B348" s="16"/>
      <c r="C348" s="16"/>
      <c r="D348" s="16"/>
      <c r="E348" s="16"/>
      <c r="F348" s="16"/>
      <c r="G348" s="17"/>
      <c r="H348" s="17"/>
      <c r="I348" s="17"/>
      <c r="J348" s="17"/>
      <c r="K348" s="17"/>
      <c r="L348" s="18" t="s">
        <v>765</v>
      </c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</row>
    <row r="349" spans="1:80" ht="16.149999999999999" customHeight="1" x14ac:dyDescent="0.25">
      <c r="A349" s="16"/>
      <c r="B349" s="16"/>
      <c r="C349" s="16"/>
      <c r="D349" s="16"/>
      <c r="E349" s="16"/>
      <c r="F349" s="16"/>
      <c r="G349" s="17"/>
      <c r="H349" s="17"/>
      <c r="I349" s="17"/>
      <c r="J349" s="17"/>
      <c r="K349" s="17"/>
      <c r="L349" s="18" t="s">
        <v>766</v>
      </c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</row>
    <row r="350" spans="1:80" ht="16.149999999999999" customHeight="1" x14ac:dyDescent="0.25">
      <c r="A350" s="16"/>
      <c r="B350" s="16"/>
      <c r="C350" s="16"/>
      <c r="D350" s="16"/>
      <c r="E350" s="16"/>
      <c r="F350" s="16"/>
      <c r="G350" s="17"/>
      <c r="H350" s="17"/>
      <c r="I350" s="17"/>
      <c r="J350" s="17"/>
      <c r="K350" s="17"/>
      <c r="L350" s="18" t="s">
        <v>767</v>
      </c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</row>
    <row r="351" spans="1:80" ht="16.149999999999999" customHeight="1" x14ac:dyDescent="0.25">
      <c r="A351" s="16"/>
      <c r="B351" s="16"/>
      <c r="C351" s="16"/>
      <c r="D351" s="16"/>
      <c r="E351" s="16"/>
      <c r="F351" s="16"/>
      <c r="G351" s="17"/>
      <c r="H351" s="17"/>
      <c r="I351" s="17"/>
      <c r="J351" s="17"/>
      <c r="K351" s="17"/>
      <c r="L351" s="18" t="s">
        <v>768</v>
      </c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</row>
    <row r="352" spans="1:80" ht="16.149999999999999" customHeight="1" x14ac:dyDescent="0.25">
      <c r="A352" s="16"/>
      <c r="B352" s="16"/>
      <c r="C352" s="16"/>
      <c r="D352" s="16"/>
      <c r="E352" s="16"/>
      <c r="F352" s="16"/>
      <c r="G352" s="17"/>
      <c r="H352" s="17"/>
      <c r="I352" s="17"/>
      <c r="J352" s="17"/>
      <c r="K352" s="17"/>
      <c r="L352" s="18" t="s">
        <v>769</v>
      </c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</row>
    <row r="353" spans="1:80" ht="16.149999999999999" customHeight="1" x14ac:dyDescent="0.25">
      <c r="A353" s="16"/>
      <c r="B353" s="16"/>
      <c r="C353" s="16"/>
      <c r="D353" s="16"/>
      <c r="E353" s="16"/>
      <c r="F353" s="16"/>
      <c r="G353" s="17"/>
      <c r="H353" s="17"/>
      <c r="I353" s="17"/>
      <c r="J353" s="17"/>
      <c r="K353" s="17"/>
      <c r="L353" s="18" t="s">
        <v>770</v>
      </c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</row>
    <row r="354" spans="1:80" ht="16.149999999999999" customHeight="1" x14ac:dyDescent="0.25">
      <c r="A354" s="16"/>
      <c r="B354" s="16"/>
      <c r="C354" s="16"/>
      <c r="D354" s="16"/>
      <c r="E354" s="16"/>
      <c r="F354" s="16"/>
      <c r="G354" s="17"/>
      <c r="H354" s="17"/>
      <c r="I354" s="17"/>
      <c r="J354" s="17"/>
      <c r="K354" s="17"/>
      <c r="L354" s="18" t="s">
        <v>771</v>
      </c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</row>
    <row r="355" spans="1:80" ht="16.149999999999999" customHeight="1" x14ac:dyDescent="0.25">
      <c r="A355" s="16"/>
      <c r="B355" s="16"/>
      <c r="C355" s="16"/>
      <c r="D355" s="16"/>
      <c r="E355" s="16"/>
      <c r="F355" s="16"/>
      <c r="G355" s="17"/>
      <c r="H355" s="17"/>
      <c r="I355" s="17"/>
      <c r="J355" s="17"/>
      <c r="K355" s="17"/>
      <c r="L355" s="18" t="s">
        <v>772</v>
      </c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</row>
    <row r="356" spans="1:80" ht="16.149999999999999" customHeight="1" x14ac:dyDescent="0.25">
      <c r="A356" s="16"/>
      <c r="B356" s="16"/>
      <c r="C356" s="16"/>
      <c r="D356" s="16"/>
      <c r="E356" s="16"/>
      <c r="F356" s="16"/>
      <c r="G356" s="17"/>
      <c r="H356" s="17"/>
      <c r="I356" s="17"/>
      <c r="J356" s="17"/>
      <c r="K356" s="17"/>
      <c r="L356" s="18" t="s">
        <v>773</v>
      </c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</row>
    <row r="357" spans="1:80" ht="16.149999999999999" customHeight="1" x14ac:dyDescent="0.25">
      <c r="A357" s="16"/>
      <c r="B357" s="16"/>
      <c r="C357" s="16"/>
      <c r="D357" s="16"/>
      <c r="E357" s="16"/>
      <c r="F357" s="16"/>
      <c r="G357" s="17"/>
      <c r="H357" s="17"/>
      <c r="I357" s="17"/>
      <c r="J357" s="17"/>
      <c r="K357" s="17"/>
      <c r="L357" s="18" t="s">
        <v>774</v>
      </c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</row>
    <row r="358" spans="1:80" ht="16.149999999999999" customHeight="1" x14ac:dyDescent="0.25">
      <c r="A358" s="16"/>
      <c r="B358" s="16"/>
      <c r="C358" s="16"/>
      <c r="D358" s="16"/>
      <c r="E358" s="16"/>
      <c r="F358" s="16"/>
      <c r="G358" s="17"/>
      <c r="H358" s="17"/>
      <c r="I358" s="17"/>
      <c r="J358" s="17"/>
      <c r="K358" s="17"/>
      <c r="L358" s="18" t="s">
        <v>775</v>
      </c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</row>
    <row r="359" spans="1:80" ht="16.149999999999999" customHeight="1" x14ac:dyDescent="0.25">
      <c r="A359" s="16"/>
      <c r="B359" s="16"/>
      <c r="C359" s="16"/>
      <c r="D359" s="16"/>
      <c r="E359" s="16"/>
      <c r="F359" s="16"/>
      <c r="G359" s="17"/>
      <c r="H359" s="17"/>
      <c r="I359" s="17"/>
      <c r="J359" s="17"/>
      <c r="K359" s="17"/>
      <c r="L359" s="18" t="s">
        <v>776</v>
      </c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</row>
    <row r="360" spans="1:80" ht="16.149999999999999" customHeight="1" x14ac:dyDescent="0.25">
      <c r="A360" s="16"/>
      <c r="B360" s="16"/>
      <c r="C360" s="16"/>
      <c r="D360" s="16"/>
      <c r="E360" s="16"/>
      <c r="F360" s="16"/>
      <c r="G360" s="17"/>
      <c r="H360" s="17"/>
      <c r="I360" s="17"/>
      <c r="J360" s="17"/>
      <c r="K360" s="17"/>
      <c r="L360" s="18" t="s">
        <v>777</v>
      </c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</row>
    <row r="361" spans="1:80" ht="16.149999999999999" customHeight="1" x14ac:dyDescent="0.25">
      <c r="A361" s="16"/>
      <c r="B361" s="16"/>
      <c r="C361" s="16"/>
      <c r="D361" s="16"/>
      <c r="E361" s="16"/>
      <c r="F361" s="16"/>
      <c r="G361" s="17"/>
      <c r="H361" s="17"/>
      <c r="I361" s="17"/>
      <c r="J361" s="17"/>
      <c r="K361" s="17"/>
      <c r="L361" s="18" t="s">
        <v>778</v>
      </c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</row>
    <row r="362" spans="1:80" ht="16.149999999999999" customHeight="1" x14ac:dyDescent="0.25">
      <c r="A362" s="16"/>
      <c r="B362" s="16"/>
      <c r="C362" s="16"/>
      <c r="D362" s="16"/>
      <c r="E362" s="16"/>
      <c r="F362" s="16"/>
      <c r="G362" s="17"/>
      <c r="H362" s="17"/>
      <c r="I362" s="17"/>
      <c r="J362" s="17"/>
      <c r="K362" s="17"/>
      <c r="L362" s="18" t="s">
        <v>779</v>
      </c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</row>
    <row r="363" spans="1:80" ht="16.149999999999999" customHeight="1" x14ac:dyDescent="0.25">
      <c r="A363" s="16"/>
      <c r="B363" s="16"/>
      <c r="C363" s="16"/>
      <c r="D363" s="16"/>
      <c r="E363" s="16"/>
      <c r="F363" s="16"/>
      <c r="G363" s="17"/>
      <c r="H363" s="17"/>
      <c r="I363" s="17"/>
      <c r="J363" s="17"/>
      <c r="K363" s="17"/>
      <c r="L363" s="18" t="s">
        <v>780</v>
      </c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</row>
    <row r="364" spans="1:80" ht="16.149999999999999" customHeight="1" x14ac:dyDescent="0.25">
      <c r="A364" s="16"/>
      <c r="B364" s="16"/>
      <c r="C364" s="16"/>
      <c r="D364" s="16"/>
      <c r="E364" s="16"/>
      <c r="F364" s="16"/>
      <c r="G364" s="17"/>
      <c r="H364" s="17"/>
      <c r="I364" s="17"/>
      <c r="J364" s="17"/>
      <c r="K364" s="17"/>
      <c r="L364" s="18" t="s">
        <v>781</v>
      </c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</row>
    <row r="365" spans="1:80" ht="16.149999999999999" customHeight="1" x14ac:dyDescent="0.25">
      <c r="A365" s="16"/>
      <c r="B365" s="16"/>
      <c r="C365" s="16"/>
      <c r="D365" s="16"/>
      <c r="E365" s="16"/>
      <c r="F365" s="16"/>
      <c r="G365" s="17"/>
      <c r="H365" s="17"/>
      <c r="I365" s="17"/>
      <c r="J365" s="17"/>
      <c r="K365" s="17"/>
      <c r="L365" s="18" t="s">
        <v>782</v>
      </c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</row>
    <row r="366" spans="1:80" ht="16.149999999999999" customHeight="1" x14ac:dyDescent="0.25">
      <c r="A366" s="16"/>
      <c r="B366" s="16"/>
      <c r="C366" s="16"/>
      <c r="D366" s="16"/>
      <c r="E366" s="16"/>
      <c r="F366" s="16"/>
      <c r="G366" s="17"/>
      <c r="H366" s="17"/>
      <c r="I366" s="17"/>
      <c r="J366" s="17"/>
      <c r="K366" s="17"/>
      <c r="L366" s="18" t="s">
        <v>783</v>
      </c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</row>
    <row r="367" spans="1:80" ht="16.149999999999999" customHeight="1" x14ac:dyDescent="0.25">
      <c r="A367" s="16"/>
      <c r="B367" s="16"/>
      <c r="C367" s="16"/>
      <c r="D367" s="16"/>
      <c r="E367" s="16"/>
      <c r="F367" s="16"/>
      <c r="G367" s="17"/>
      <c r="H367" s="17"/>
      <c r="I367" s="17"/>
      <c r="J367" s="17"/>
      <c r="K367" s="17"/>
      <c r="L367" s="18" t="s">
        <v>784</v>
      </c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</row>
    <row r="368" spans="1:80" ht="16.149999999999999" customHeight="1" x14ac:dyDescent="0.25">
      <c r="A368" s="16"/>
      <c r="B368" s="16"/>
      <c r="C368" s="16"/>
      <c r="D368" s="16"/>
      <c r="E368" s="16"/>
      <c r="F368" s="16"/>
      <c r="G368" s="17"/>
      <c r="H368" s="17"/>
      <c r="I368" s="17"/>
      <c r="J368" s="17"/>
      <c r="K368" s="17"/>
      <c r="L368" s="18" t="s">
        <v>785</v>
      </c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</row>
    <row r="369" spans="1:80" ht="16.149999999999999" customHeight="1" x14ac:dyDescent="0.25">
      <c r="A369" s="16"/>
      <c r="B369" s="16"/>
      <c r="C369" s="16"/>
      <c r="D369" s="16"/>
      <c r="E369" s="16"/>
      <c r="F369" s="16"/>
      <c r="G369" s="17"/>
      <c r="H369" s="17"/>
      <c r="I369" s="17"/>
      <c r="J369" s="17"/>
      <c r="K369" s="17"/>
      <c r="L369" s="18" t="s">
        <v>786</v>
      </c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</row>
    <row r="370" spans="1:80" ht="16.149999999999999" customHeight="1" x14ac:dyDescent="0.25">
      <c r="A370" s="16"/>
      <c r="B370" s="16"/>
      <c r="C370" s="16"/>
      <c r="D370" s="16"/>
      <c r="E370" s="16"/>
      <c r="F370" s="16"/>
      <c r="G370" s="17"/>
      <c r="H370" s="17"/>
      <c r="I370" s="17"/>
      <c r="J370" s="17"/>
      <c r="K370" s="17"/>
      <c r="L370" s="18" t="s">
        <v>787</v>
      </c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</row>
    <row r="371" spans="1:80" ht="16.149999999999999" customHeight="1" x14ac:dyDescent="0.25">
      <c r="A371" s="16"/>
      <c r="B371" s="16"/>
      <c r="C371" s="16"/>
      <c r="D371" s="16"/>
      <c r="E371" s="16"/>
      <c r="F371" s="16"/>
      <c r="G371" s="17"/>
      <c r="H371" s="17"/>
      <c r="I371" s="17"/>
      <c r="J371" s="17"/>
      <c r="K371" s="17"/>
      <c r="L371" s="18" t="s">
        <v>788</v>
      </c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</row>
    <row r="372" spans="1:80" ht="16.149999999999999" customHeight="1" x14ac:dyDescent="0.25">
      <c r="A372" s="16"/>
      <c r="B372" s="16"/>
      <c r="C372" s="16"/>
      <c r="D372" s="16"/>
      <c r="E372" s="16"/>
      <c r="F372" s="16"/>
      <c r="G372" s="17"/>
      <c r="H372" s="17"/>
      <c r="I372" s="17"/>
      <c r="J372" s="17"/>
      <c r="K372" s="17"/>
      <c r="L372" s="18" t="s">
        <v>789</v>
      </c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</row>
    <row r="373" spans="1:80" ht="16.149999999999999" customHeight="1" x14ac:dyDescent="0.25">
      <c r="A373" s="16"/>
      <c r="B373" s="16"/>
      <c r="C373" s="16"/>
      <c r="D373" s="16"/>
      <c r="E373" s="16"/>
      <c r="F373" s="16"/>
      <c r="G373" s="17"/>
      <c r="H373" s="17"/>
      <c r="I373" s="17"/>
      <c r="J373" s="17"/>
      <c r="K373" s="17"/>
      <c r="L373" s="18" t="s">
        <v>790</v>
      </c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</row>
    <row r="374" spans="1:80" ht="16.149999999999999" customHeight="1" x14ac:dyDescent="0.25">
      <c r="A374" s="16"/>
      <c r="B374" s="16"/>
      <c r="C374" s="16"/>
      <c r="D374" s="16"/>
      <c r="E374" s="16"/>
      <c r="F374" s="16"/>
      <c r="G374" s="17"/>
      <c r="H374" s="17"/>
      <c r="I374" s="17"/>
      <c r="J374" s="17"/>
      <c r="K374" s="17"/>
      <c r="L374" s="18" t="s">
        <v>791</v>
      </c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</row>
    <row r="375" spans="1:80" ht="16.149999999999999" customHeight="1" x14ac:dyDescent="0.25">
      <c r="A375" s="16"/>
      <c r="B375" s="16"/>
      <c r="C375" s="16"/>
      <c r="D375" s="16"/>
      <c r="E375" s="16"/>
      <c r="F375" s="16"/>
      <c r="G375" s="17"/>
      <c r="H375" s="17"/>
      <c r="I375" s="17"/>
      <c r="J375" s="17"/>
      <c r="K375" s="17"/>
      <c r="L375" s="18" t="s">
        <v>792</v>
      </c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</row>
    <row r="376" spans="1:80" ht="16.149999999999999" customHeight="1" x14ac:dyDescent="0.25">
      <c r="A376" s="16"/>
      <c r="B376" s="16"/>
      <c r="C376" s="16"/>
      <c r="D376" s="16"/>
      <c r="E376" s="16"/>
      <c r="F376" s="16"/>
      <c r="G376" s="17"/>
      <c r="H376" s="17"/>
      <c r="I376" s="17"/>
      <c r="J376" s="17"/>
      <c r="K376" s="17"/>
      <c r="L376" s="18" t="s">
        <v>793</v>
      </c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</row>
    <row r="377" spans="1:80" ht="16.149999999999999" customHeight="1" x14ac:dyDescent="0.25">
      <c r="A377" s="16"/>
      <c r="B377" s="16"/>
      <c r="C377" s="16"/>
      <c r="D377" s="16"/>
      <c r="E377" s="16"/>
      <c r="F377" s="16"/>
      <c r="G377" s="17"/>
      <c r="H377" s="17"/>
      <c r="I377" s="17"/>
      <c r="J377" s="17"/>
      <c r="K377" s="17"/>
      <c r="L377" s="18" t="s">
        <v>794</v>
      </c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</row>
    <row r="378" spans="1:80" ht="16.149999999999999" customHeight="1" x14ac:dyDescent="0.25">
      <c r="A378" s="16"/>
      <c r="B378" s="16"/>
      <c r="C378" s="16"/>
      <c r="D378" s="16"/>
      <c r="E378" s="16"/>
      <c r="F378" s="16"/>
      <c r="G378" s="17"/>
      <c r="H378" s="17"/>
      <c r="I378" s="17"/>
      <c r="J378" s="17"/>
      <c r="K378" s="17"/>
      <c r="L378" s="18" t="s">
        <v>795</v>
      </c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</row>
    <row r="379" spans="1:80" ht="16.149999999999999" customHeight="1" x14ac:dyDescent="0.25">
      <c r="A379" s="16"/>
      <c r="B379" s="16"/>
      <c r="C379" s="16"/>
      <c r="D379" s="16"/>
      <c r="E379" s="16"/>
      <c r="F379" s="16"/>
      <c r="G379" s="17"/>
      <c r="H379" s="17"/>
      <c r="I379" s="17"/>
      <c r="J379" s="17"/>
      <c r="K379" s="17"/>
      <c r="L379" s="18" t="s">
        <v>796</v>
      </c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</row>
    <row r="380" spans="1:80" ht="16.149999999999999" customHeight="1" x14ac:dyDescent="0.25">
      <c r="A380" s="16"/>
      <c r="B380" s="16"/>
      <c r="C380" s="16"/>
      <c r="D380" s="16"/>
      <c r="E380" s="16"/>
      <c r="F380" s="16"/>
      <c r="G380" s="17"/>
      <c r="H380" s="17"/>
      <c r="I380" s="17"/>
      <c r="J380" s="17"/>
      <c r="K380" s="17"/>
      <c r="L380" s="18" t="s">
        <v>797</v>
      </c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</row>
    <row r="381" spans="1:80" ht="16.149999999999999" customHeight="1" x14ac:dyDescent="0.25">
      <c r="A381" s="16"/>
      <c r="B381" s="16"/>
      <c r="C381" s="16"/>
      <c r="D381" s="16"/>
      <c r="E381" s="16"/>
      <c r="F381" s="16"/>
      <c r="G381" s="17"/>
      <c r="H381" s="17"/>
      <c r="I381" s="17"/>
      <c r="J381" s="17"/>
      <c r="K381" s="17"/>
      <c r="L381" s="18" t="s">
        <v>798</v>
      </c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</row>
    <row r="382" spans="1:80" ht="16.149999999999999" customHeight="1" x14ac:dyDescent="0.25">
      <c r="A382" s="16"/>
      <c r="B382" s="16"/>
      <c r="C382" s="16"/>
      <c r="D382" s="16"/>
      <c r="E382" s="16"/>
      <c r="F382" s="16"/>
      <c r="G382" s="17"/>
      <c r="H382" s="17"/>
      <c r="I382" s="17"/>
      <c r="J382" s="17"/>
      <c r="K382" s="17"/>
      <c r="L382" s="18" t="s">
        <v>799</v>
      </c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</row>
    <row r="383" spans="1:80" ht="16.149999999999999" customHeight="1" x14ac:dyDescent="0.25">
      <c r="A383" s="16"/>
      <c r="B383" s="16"/>
      <c r="C383" s="16"/>
      <c r="D383" s="16"/>
      <c r="E383" s="16"/>
      <c r="F383" s="16"/>
      <c r="G383" s="17"/>
      <c r="H383" s="17"/>
      <c r="I383" s="17"/>
      <c r="J383" s="17"/>
      <c r="K383" s="17"/>
      <c r="L383" s="18" t="s">
        <v>800</v>
      </c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</row>
    <row r="384" spans="1:80" ht="16.149999999999999" customHeight="1" x14ac:dyDescent="0.25">
      <c r="A384" s="16"/>
      <c r="B384" s="16"/>
      <c r="C384" s="16"/>
      <c r="D384" s="16"/>
      <c r="E384" s="16"/>
      <c r="F384" s="16"/>
      <c r="G384" s="17"/>
      <c r="H384" s="17"/>
      <c r="I384" s="17"/>
      <c r="J384" s="17"/>
      <c r="K384" s="17"/>
      <c r="L384" s="18" t="s">
        <v>801</v>
      </c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</row>
    <row r="385" spans="1:80" ht="16.149999999999999" customHeight="1" x14ac:dyDescent="0.25">
      <c r="A385" s="16"/>
      <c r="B385" s="16"/>
      <c r="C385" s="16"/>
      <c r="D385" s="16"/>
      <c r="E385" s="16"/>
      <c r="F385" s="16"/>
      <c r="G385" s="17"/>
      <c r="H385" s="17"/>
      <c r="I385" s="17"/>
      <c r="J385" s="17"/>
      <c r="K385" s="17"/>
      <c r="L385" s="18" t="s">
        <v>802</v>
      </c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</row>
    <row r="386" spans="1:80" ht="16.149999999999999" customHeight="1" x14ac:dyDescent="0.25">
      <c r="A386" s="16"/>
      <c r="B386" s="16"/>
      <c r="C386" s="16"/>
      <c r="D386" s="16"/>
      <c r="E386" s="16"/>
      <c r="F386" s="16"/>
      <c r="G386" s="17"/>
      <c r="H386" s="17"/>
      <c r="I386" s="17"/>
      <c r="J386" s="17"/>
      <c r="K386" s="17"/>
      <c r="L386" s="18" t="s">
        <v>803</v>
      </c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</row>
    <row r="387" spans="1:80" ht="16.149999999999999" customHeight="1" x14ac:dyDescent="0.25">
      <c r="A387" s="16"/>
      <c r="B387" s="16"/>
      <c r="C387" s="16"/>
      <c r="D387" s="16"/>
      <c r="E387" s="16"/>
      <c r="F387" s="16"/>
      <c r="G387" s="17"/>
      <c r="H387" s="17"/>
      <c r="I387" s="17"/>
      <c r="J387" s="17"/>
      <c r="K387" s="17"/>
      <c r="L387" s="18" t="s">
        <v>804</v>
      </c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</row>
    <row r="388" spans="1:80" ht="16.149999999999999" customHeight="1" x14ac:dyDescent="0.25">
      <c r="A388" s="16"/>
      <c r="B388" s="16"/>
      <c r="C388" s="16"/>
      <c r="D388" s="16"/>
      <c r="E388" s="16"/>
      <c r="F388" s="16"/>
      <c r="G388" s="17"/>
      <c r="H388" s="17"/>
      <c r="I388" s="17"/>
      <c r="J388" s="17"/>
      <c r="K388" s="17"/>
      <c r="L388" s="18" t="s">
        <v>805</v>
      </c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</row>
    <row r="389" spans="1:80" ht="16.149999999999999" customHeight="1" x14ac:dyDescent="0.25">
      <c r="A389" s="16"/>
      <c r="B389" s="16"/>
      <c r="C389" s="16"/>
      <c r="D389" s="16"/>
      <c r="E389" s="16"/>
      <c r="F389" s="16"/>
      <c r="G389" s="17"/>
      <c r="H389" s="17"/>
      <c r="I389" s="17"/>
      <c r="J389" s="17"/>
      <c r="K389" s="17"/>
      <c r="L389" s="18" t="s">
        <v>806</v>
      </c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</row>
    <row r="390" spans="1:80" ht="16.149999999999999" customHeight="1" x14ac:dyDescent="0.25">
      <c r="A390" s="16"/>
      <c r="B390" s="16"/>
      <c r="C390" s="16"/>
      <c r="D390" s="16"/>
      <c r="E390" s="16"/>
      <c r="F390" s="16"/>
      <c r="G390" s="17"/>
      <c r="H390" s="17"/>
      <c r="I390" s="17"/>
      <c r="J390" s="17"/>
      <c r="K390" s="17"/>
      <c r="L390" s="18" t="s">
        <v>807</v>
      </c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</row>
    <row r="391" spans="1:80" ht="16.149999999999999" customHeight="1" x14ac:dyDescent="0.25">
      <c r="A391" s="16"/>
      <c r="B391" s="16"/>
      <c r="C391" s="16"/>
      <c r="D391" s="16"/>
      <c r="E391" s="16"/>
      <c r="F391" s="16"/>
      <c r="G391" s="17"/>
      <c r="H391" s="17"/>
      <c r="I391" s="17"/>
      <c r="J391" s="17"/>
      <c r="K391" s="17"/>
      <c r="L391" s="18" t="s">
        <v>808</v>
      </c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</row>
    <row r="392" spans="1:80" ht="16.149999999999999" customHeight="1" x14ac:dyDescent="0.25">
      <c r="A392" s="16"/>
      <c r="B392" s="16"/>
      <c r="C392" s="16"/>
      <c r="D392" s="16"/>
      <c r="E392" s="16"/>
      <c r="F392" s="16"/>
      <c r="G392" s="17"/>
      <c r="H392" s="17"/>
      <c r="I392" s="17"/>
      <c r="J392" s="17"/>
      <c r="K392" s="17"/>
      <c r="L392" s="18" t="s">
        <v>809</v>
      </c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</row>
    <row r="393" spans="1:80" ht="16.149999999999999" customHeight="1" x14ac:dyDescent="0.25">
      <c r="A393" s="16"/>
      <c r="B393" s="16"/>
      <c r="C393" s="16"/>
      <c r="D393" s="16"/>
      <c r="E393" s="16"/>
      <c r="F393" s="16"/>
      <c r="G393" s="17"/>
      <c r="H393" s="17"/>
      <c r="I393" s="17"/>
      <c r="J393" s="17"/>
      <c r="K393" s="17"/>
      <c r="L393" s="18" t="s">
        <v>810</v>
      </c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</row>
    <row r="394" spans="1:80" ht="16.149999999999999" customHeight="1" x14ac:dyDescent="0.25">
      <c r="A394" s="16"/>
      <c r="B394" s="16"/>
      <c r="C394" s="16"/>
      <c r="D394" s="16"/>
      <c r="E394" s="16"/>
      <c r="F394" s="16"/>
      <c r="G394" s="17"/>
      <c r="H394" s="17"/>
      <c r="I394" s="17"/>
      <c r="J394" s="17"/>
      <c r="K394" s="17"/>
      <c r="L394" s="18" t="s">
        <v>811</v>
      </c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</row>
    <row r="395" spans="1:80" ht="16.149999999999999" customHeight="1" x14ac:dyDescent="0.25">
      <c r="A395" s="16"/>
      <c r="B395" s="16"/>
      <c r="C395" s="16"/>
      <c r="D395" s="16"/>
      <c r="E395" s="16"/>
      <c r="F395" s="16"/>
      <c r="G395" s="17"/>
      <c r="H395" s="17"/>
      <c r="I395" s="17"/>
      <c r="J395" s="17"/>
      <c r="K395" s="17"/>
      <c r="L395" s="18" t="s">
        <v>812</v>
      </c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</row>
    <row r="396" spans="1:80" ht="16.149999999999999" customHeight="1" x14ac:dyDescent="0.25">
      <c r="A396" s="16"/>
      <c r="B396" s="16"/>
      <c r="C396" s="16"/>
      <c r="D396" s="16"/>
      <c r="E396" s="16"/>
      <c r="F396" s="16"/>
      <c r="G396" s="17"/>
      <c r="H396" s="17"/>
      <c r="I396" s="17"/>
      <c r="J396" s="17"/>
      <c r="K396" s="17"/>
      <c r="L396" s="18" t="s">
        <v>813</v>
      </c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</row>
    <row r="397" spans="1:80" ht="16.149999999999999" customHeight="1" x14ac:dyDescent="0.25">
      <c r="A397" s="16"/>
      <c r="B397" s="16"/>
      <c r="C397" s="16"/>
      <c r="D397" s="16"/>
      <c r="E397" s="16"/>
      <c r="F397" s="16"/>
      <c r="G397" s="17"/>
      <c r="H397" s="17"/>
      <c r="I397" s="17"/>
      <c r="J397" s="17"/>
      <c r="K397" s="17"/>
      <c r="L397" s="18" t="s">
        <v>814</v>
      </c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</row>
    <row r="398" spans="1:80" ht="16.149999999999999" customHeight="1" x14ac:dyDescent="0.25">
      <c r="A398" s="16"/>
      <c r="B398" s="16"/>
      <c r="C398" s="16"/>
      <c r="D398" s="16"/>
      <c r="E398" s="16"/>
      <c r="F398" s="16"/>
      <c r="G398" s="17"/>
      <c r="H398" s="17"/>
      <c r="I398" s="17"/>
      <c r="J398" s="17"/>
      <c r="K398" s="17"/>
      <c r="L398" s="18" t="s">
        <v>815</v>
      </c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</row>
    <row r="399" spans="1:80" ht="16.149999999999999" customHeight="1" x14ac:dyDescent="0.25">
      <c r="A399" s="16"/>
      <c r="B399" s="16"/>
      <c r="C399" s="16"/>
      <c r="D399" s="16"/>
      <c r="E399" s="16"/>
      <c r="F399" s="16"/>
      <c r="G399" s="17"/>
      <c r="H399" s="17"/>
      <c r="I399" s="17"/>
      <c r="J399" s="17"/>
      <c r="K399" s="17"/>
      <c r="L399" s="18" t="s">
        <v>816</v>
      </c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</row>
    <row r="400" spans="1:80" ht="16.149999999999999" customHeight="1" x14ac:dyDescent="0.25">
      <c r="A400" s="16"/>
      <c r="B400" s="16"/>
      <c r="C400" s="16"/>
      <c r="D400" s="16"/>
      <c r="E400" s="16"/>
      <c r="F400" s="16"/>
      <c r="G400" s="17"/>
      <c r="H400" s="17"/>
      <c r="I400" s="17"/>
      <c r="J400" s="17"/>
      <c r="K400" s="17"/>
      <c r="L400" s="18" t="s">
        <v>817</v>
      </c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</row>
    <row r="401" spans="1:80" ht="16.149999999999999" customHeight="1" x14ac:dyDescent="0.25">
      <c r="A401" s="16"/>
      <c r="B401" s="16"/>
      <c r="C401" s="16"/>
      <c r="D401" s="16"/>
      <c r="E401" s="16"/>
      <c r="F401" s="16"/>
      <c r="G401" s="17"/>
      <c r="H401" s="17"/>
      <c r="I401" s="17"/>
      <c r="J401" s="17"/>
      <c r="K401" s="17"/>
      <c r="L401" s="18" t="s">
        <v>818</v>
      </c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</row>
    <row r="402" spans="1:80" ht="16.149999999999999" customHeight="1" x14ac:dyDescent="0.25">
      <c r="A402" s="16"/>
      <c r="B402" s="16"/>
      <c r="C402" s="16"/>
      <c r="D402" s="16"/>
      <c r="E402" s="16"/>
      <c r="F402" s="16"/>
      <c r="G402" s="17"/>
      <c r="H402" s="17"/>
      <c r="I402" s="17"/>
      <c r="J402" s="17"/>
      <c r="K402" s="17"/>
      <c r="L402" s="18" t="s">
        <v>819</v>
      </c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</row>
    <row r="403" spans="1:80" ht="16.149999999999999" customHeight="1" x14ac:dyDescent="0.25">
      <c r="A403" s="16"/>
      <c r="B403" s="16"/>
      <c r="C403" s="16"/>
      <c r="D403" s="16"/>
      <c r="E403" s="16"/>
      <c r="F403" s="16"/>
      <c r="G403" s="17"/>
      <c r="H403" s="17"/>
      <c r="I403" s="17"/>
      <c r="J403" s="17"/>
      <c r="K403" s="17"/>
      <c r="L403" s="18" t="s">
        <v>820</v>
      </c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</row>
    <row r="404" spans="1:80" ht="16.149999999999999" customHeight="1" x14ac:dyDescent="0.25">
      <c r="A404" s="16"/>
      <c r="B404" s="16"/>
      <c r="C404" s="16"/>
      <c r="D404" s="16"/>
      <c r="E404" s="16"/>
      <c r="F404" s="16"/>
      <c r="G404" s="17"/>
      <c r="H404" s="17"/>
      <c r="I404" s="17"/>
      <c r="J404" s="17"/>
      <c r="K404" s="17"/>
      <c r="L404" s="18" t="s">
        <v>821</v>
      </c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</row>
    <row r="405" spans="1:80" ht="16.149999999999999" customHeight="1" x14ac:dyDescent="0.25">
      <c r="A405" s="16"/>
      <c r="B405" s="16"/>
      <c r="C405" s="16"/>
      <c r="D405" s="16"/>
      <c r="E405" s="16"/>
      <c r="F405" s="16"/>
      <c r="G405" s="17"/>
      <c r="H405" s="17"/>
      <c r="I405" s="17"/>
      <c r="J405" s="17"/>
      <c r="K405" s="17"/>
      <c r="L405" s="18" t="s">
        <v>822</v>
      </c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</row>
    <row r="406" spans="1:80" ht="16.149999999999999" customHeight="1" x14ac:dyDescent="0.25">
      <c r="A406" s="16"/>
      <c r="B406" s="16"/>
      <c r="C406" s="16"/>
      <c r="D406" s="16"/>
      <c r="E406" s="16"/>
      <c r="F406" s="16"/>
      <c r="G406" s="17"/>
      <c r="H406" s="17"/>
      <c r="I406" s="17"/>
      <c r="J406" s="17"/>
      <c r="K406" s="17"/>
      <c r="L406" s="18" t="s">
        <v>823</v>
      </c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</row>
    <row r="407" spans="1:80" ht="16.149999999999999" customHeight="1" x14ac:dyDescent="0.25">
      <c r="A407" s="16"/>
      <c r="B407" s="16"/>
      <c r="C407" s="16"/>
      <c r="D407" s="16"/>
      <c r="E407" s="16"/>
      <c r="F407" s="16"/>
      <c r="G407" s="17"/>
      <c r="H407" s="17"/>
      <c r="I407" s="17"/>
      <c r="J407" s="17"/>
      <c r="K407" s="17"/>
      <c r="L407" s="18" t="s">
        <v>824</v>
      </c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</row>
    <row r="408" spans="1:80" ht="16.149999999999999" customHeight="1" x14ac:dyDescent="0.25">
      <c r="A408" s="16"/>
      <c r="B408" s="16"/>
      <c r="C408" s="16"/>
      <c r="D408" s="16"/>
      <c r="E408" s="16"/>
      <c r="F408" s="16"/>
      <c r="G408" s="17"/>
      <c r="H408" s="17"/>
      <c r="I408" s="17"/>
      <c r="J408" s="17"/>
      <c r="K408" s="17"/>
      <c r="L408" s="18" t="s">
        <v>825</v>
      </c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</row>
    <row r="409" spans="1:80" ht="16.149999999999999" customHeight="1" x14ac:dyDescent="0.25">
      <c r="A409" s="16"/>
      <c r="B409" s="16"/>
      <c r="C409" s="16"/>
      <c r="D409" s="16"/>
      <c r="E409" s="16"/>
      <c r="F409" s="16"/>
      <c r="G409" s="17"/>
      <c r="H409" s="17"/>
      <c r="I409" s="17"/>
      <c r="J409" s="17"/>
      <c r="K409" s="17"/>
      <c r="L409" s="18" t="s">
        <v>826</v>
      </c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</row>
    <row r="410" spans="1:80" ht="16.149999999999999" customHeight="1" x14ac:dyDescent="0.25">
      <c r="A410" s="16"/>
      <c r="B410" s="16"/>
      <c r="C410" s="16"/>
      <c r="D410" s="16"/>
      <c r="E410" s="16"/>
      <c r="F410" s="16"/>
      <c r="G410" s="17"/>
      <c r="H410" s="17"/>
      <c r="I410" s="17"/>
      <c r="J410" s="17"/>
      <c r="K410" s="17"/>
      <c r="L410" s="18" t="s">
        <v>827</v>
      </c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</row>
    <row r="411" spans="1:80" ht="16.149999999999999" customHeight="1" x14ac:dyDescent="0.25">
      <c r="A411" s="16"/>
      <c r="B411" s="16"/>
      <c r="C411" s="16"/>
      <c r="D411" s="16"/>
      <c r="E411" s="16"/>
      <c r="F411" s="16"/>
      <c r="G411" s="17"/>
      <c r="H411" s="17"/>
      <c r="I411" s="17"/>
      <c r="J411" s="17"/>
      <c r="K411" s="17"/>
      <c r="L411" s="18" t="s">
        <v>828</v>
      </c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</row>
    <row r="412" spans="1:80" ht="16.149999999999999" customHeight="1" x14ac:dyDescent="0.25">
      <c r="A412" s="16"/>
      <c r="B412" s="16"/>
      <c r="C412" s="16"/>
      <c r="D412" s="16"/>
      <c r="E412" s="16"/>
      <c r="F412" s="16"/>
      <c r="G412" s="17"/>
      <c r="H412" s="17"/>
      <c r="I412" s="17"/>
      <c r="J412" s="17"/>
      <c r="K412" s="17"/>
      <c r="L412" s="18" t="s">
        <v>829</v>
      </c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</row>
    <row r="413" spans="1:80" ht="16.149999999999999" customHeight="1" x14ac:dyDescent="0.25">
      <c r="A413" s="16"/>
      <c r="B413" s="16"/>
      <c r="C413" s="16"/>
      <c r="D413" s="16"/>
      <c r="E413" s="16"/>
      <c r="F413" s="16"/>
      <c r="G413" s="17"/>
      <c r="H413" s="17"/>
      <c r="I413" s="17"/>
      <c r="J413" s="17"/>
      <c r="K413" s="17"/>
      <c r="L413" s="18" t="s">
        <v>830</v>
      </c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</row>
    <row r="414" spans="1:80" ht="16.149999999999999" customHeight="1" x14ac:dyDescent="0.25">
      <c r="A414" s="16"/>
      <c r="B414" s="16"/>
      <c r="C414" s="16"/>
      <c r="D414" s="16"/>
      <c r="E414" s="16"/>
      <c r="F414" s="16"/>
      <c r="G414" s="17"/>
      <c r="H414" s="17"/>
      <c r="I414" s="17"/>
      <c r="J414" s="17"/>
      <c r="K414" s="17"/>
      <c r="L414" s="18" t="s">
        <v>831</v>
      </c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</row>
    <row r="415" spans="1:80" ht="16.149999999999999" customHeight="1" x14ac:dyDescent="0.25">
      <c r="A415" s="16"/>
      <c r="B415" s="16"/>
      <c r="C415" s="16"/>
      <c r="D415" s="16"/>
      <c r="E415" s="16"/>
      <c r="F415" s="16"/>
      <c r="G415" s="17"/>
      <c r="H415" s="17"/>
      <c r="I415" s="17"/>
      <c r="J415" s="17"/>
      <c r="K415" s="17"/>
      <c r="L415" s="18" t="s">
        <v>832</v>
      </c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</row>
    <row r="416" spans="1:80" ht="16.149999999999999" customHeight="1" x14ac:dyDescent="0.25">
      <c r="A416" s="16"/>
      <c r="B416" s="16"/>
      <c r="C416" s="16"/>
      <c r="D416" s="16"/>
      <c r="E416" s="16"/>
      <c r="F416" s="16"/>
      <c r="G416" s="17"/>
      <c r="H416" s="17"/>
      <c r="I416" s="17"/>
      <c r="J416" s="17"/>
      <c r="K416" s="17"/>
      <c r="L416" s="18" t="s">
        <v>833</v>
      </c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</row>
    <row r="417" spans="1:80" ht="16.149999999999999" customHeight="1" x14ac:dyDescent="0.25">
      <c r="A417" s="16"/>
      <c r="B417" s="16"/>
      <c r="C417" s="16"/>
      <c r="D417" s="16"/>
      <c r="E417" s="16"/>
      <c r="F417" s="16"/>
      <c r="G417" s="17"/>
      <c r="H417" s="17"/>
      <c r="I417" s="17"/>
      <c r="J417" s="17"/>
      <c r="K417" s="17"/>
      <c r="L417" s="18" t="s">
        <v>834</v>
      </c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</row>
    <row r="418" spans="1:80" ht="16.149999999999999" customHeight="1" x14ac:dyDescent="0.25">
      <c r="A418" s="16"/>
      <c r="B418" s="16"/>
      <c r="C418" s="16"/>
      <c r="D418" s="16"/>
      <c r="E418" s="16"/>
      <c r="F418" s="16"/>
      <c r="G418" s="17"/>
      <c r="H418" s="17"/>
      <c r="I418" s="17"/>
      <c r="J418" s="17"/>
      <c r="K418" s="17"/>
      <c r="L418" s="18" t="s">
        <v>835</v>
      </c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</row>
    <row r="419" spans="1:80" ht="16.149999999999999" customHeight="1" x14ac:dyDescent="0.25">
      <c r="A419" s="16"/>
      <c r="B419" s="16"/>
      <c r="C419" s="16"/>
      <c r="D419" s="16"/>
      <c r="E419" s="16"/>
      <c r="F419" s="16"/>
      <c r="G419" s="17"/>
      <c r="H419" s="17"/>
      <c r="I419" s="17"/>
      <c r="J419" s="17"/>
      <c r="K419" s="17"/>
      <c r="L419" s="18" t="s">
        <v>836</v>
      </c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</row>
    <row r="420" spans="1:80" ht="16.149999999999999" customHeight="1" x14ac:dyDescent="0.25">
      <c r="A420" s="16"/>
      <c r="B420" s="16"/>
      <c r="C420" s="16"/>
      <c r="D420" s="16"/>
      <c r="E420" s="16"/>
      <c r="F420" s="16"/>
      <c r="G420" s="17"/>
      <c r="H420" s="17"/>
      <c r="I420" s="17"/>
      <c r="J420" s="17"/>
      <c r="K420" s="17"/>
      <c r="L420" s="18" t="s">
        <v>837</v>
      </c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</row>
    <row r="421" spans="1:80" ht="16.149999999999999" customHeight="1" x14ac:dyDescent="0.25">
      <c r="A421" s="16"/>
      <c r="B421" s="16"/>
      <c r="C421" s="16"/>
      <c r="D421" s="16"/>
      <c r="E421" s="16"/>
      <c r="F421" s="16"/>
      <c r="G421" s="17"/>
      <c r="H421" s="17"/>
      <c r="I421" s="17"/>
      <c r="J421" s="17"/>
      <c r="K421" s="17"/>
      <c r="L421" s="18" t="s">
        <v>838</v>
      </c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</row>
    <row r="422" spans="1:80" ht="16.149999999999999" customHeight="1" x14ac:dyDescent="0.25">
      <c r="A422" s="16"/>
      <c r="B422" s="16"/>
      <c r="C422" s="16"/>
      <c r="D422" s="16"/>
      <c r="E422" s="16"/>
      <c r="F422" s="16"/>
      <c r="G422" s="17"/>
      <c r="H422" s="17"/>
      <c r="I422" s="17"/>
      <c r="J422" s="17"/>
      <c r="K422" s="17"/>
      <c r="L422" s="18" t="s">
        <v>839</v>
      </c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</row>
    <row r="423" spans="1:80" ht="16.149999999999999" customHeight="1" x14ac:dyDescent="0.25">
      <c r="A423" s="16"/>
      <c r="B423" s="16"/>
      <c r="C423" s="16"/>
      <c r="D423" s="16"/>
      <c r="E423" s="16"/>
      <c r="F423" s="16"/>
      <c r="G423" s="17"/>
      <c r="H423" s="17"/>
      <c r="I423" s="17"/>
      <c r="J423" s="17"/>
      <c r="K423" s="17"/>
      <c r="L423" s="18" t="s">
        <v>840</v>
      </c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</row>
    <row r="424" spans="1:80" ht="16.149999999999999" customHeight="1" x14ac:dyDescent="0.25">
      <c r="A424" s="16"/>
      <c r="B424" s="16"/>
      <c r="C424" s="16"/>
      <c r="D424" s="16"/>
      <c r="E424" s="16"/>
      <c r="F424" s="16"/>
      <c r="G424" s="17"/>
      <c r="H424" s="17"/>
      <c r="I424" s="17"/>
      <c r="J424" s="17"/>
      <c r="K424" s="17"/>
      <c r="L424" s="18" t="s">
        <v>841</v>
      </c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</row>
    <row r="425" spans="1:80" ht="16.149999999999999" customHeight="1" x14ac:dyDescent="0.25">
      <c r="A425" s="16"/>
      <c r="B425" s="16"/>
      <c r="C425" s="16"/>
      <c r="D425" s="16"/>
      <c r="E425" s="16"/>
      <c r="F425" s="16"/>
      <c r="G425" s="17"/>
      <c r="H425" s="17"/>
      <c r="I425" s="17"/>
      <c r="J425" s="17"/>
      <c r="K425" s="17"/>
      <c r="L425" s="18" t="s">
        <v>842</v>
      </c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</row>
    <row r="426" spans="1:80" ht="16.149999999999999" customHeight="1" x14ac:dyDescent="0.25">
      <c r="A426" s="16"/>
      <c r="B426" s="16"/>
      <c r="C426" s="16"/>
      <c r="D426" s="16"/>
      <c r="E426" s="16"/>
      <c r="F426" s="16"/>
      <c r="G426" s="17"/>
      <c r="H426" s="17"/>
      <c r="I426" s="17"/>
      <c r="J426" s="17"/>
      <c r="K426" s="17"/>
      <c r="L426" s="18" t="s">
        <v>843</v>
      </c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</row>
    <row r="427" spans="1:80" ht="16.149999999999999" customHeight="1" x14ac:dyDescent="0.25">
      <c r="A427" s="16"/>
      <c r="B427" s="16"/>
      <c r="C427" s="16"/>
      <c r="D427" s="16"/>
      <c r="E427" s="16"/>
      <c r="F427" s="16"/>
      <c r="G427" s="17"/>
      <c r="H427" s="17"/>
      <c r="I427" s="17"/>
      <c r="J427" s="17"/>
      <c r="K427" s="17"/>
      <c r="L427" s="18" t="s">
        <v>844</v>
      </c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</row>
    <row r="428" spans="1:80" ht="16.149999999999999" customHeight="1" x14ac:dyDescent="0.25">
      <c r="A428" s="16"/>
      <c r="B428" s="16"/>
      <c r="C428" s="16"/>
      <c r="D428" s="16"/>
      <c r="E428" s="16"/>
      <c r="F428" s="16"/>
      <c r="G428" s="17"/>
      <c r="H428" s="17"/>
      <c r="I428" s="17"/>
      <c r="J428" s="17"/>
      <c r="K428" s="17"/>
      <c r="L428" s="18" t="s">
        <v>845</v>
      </c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</row>
    <row r="429" spans="1:80" ht="16.149999999999999" customHeight="1" x14ac:dyDescent="0.25">
      <c r="A429" s="16"/>
      <c r="B429" s="16"/>
      <c r="C429" s="16"/>
      <c r="D429" s="16"/>
      <c r="E429" s="16"/>
      <c r="F429" s="16"/>
      <c r="G429" s="17"/>
      <c r="H429" s="17"/>
      <c r="I429" s="17"/>
      <c r="J429" s="17"/>
      <c r="K429" s="17"/>
      <c r="L429" s="18" t="s">
        <v>846</v>
      </c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</row>
    <row r="430" spans="1:80" ht="16.149999999999999" customHeight="1" x14ac:dyDescent="0.25">
      <c r="A430" s="16"/>
      <c r="B430" s="16"/>
      <c r="C430" s="16"/>
      <c r="D430" s="16"/>
      <c r="E430" s="16"/>
      <c r="F430" s="16"/>
      <c r="G430" s="17"/>
      <c r="H430" s="17"/>
      <c r="I430" s="17"/>
      <c r="J430" s="17"/>
      <c r="K430" s="17"/>
      <c r="L430" s="18" t="s">
        <v>847</v>
      </c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</row>
    <row r="431" spans="1:80" ht="16.149999999999999" customHeight="1" x14ac:dyDescent="0.25">
      <c r="A431" s="16"/>
      <c r="B431" s="16"/>
      <c r="C431" s="16"/>
      <c r="D431" s="16"/>
      <c r="E431" s="16"/>
      <c r="F431" s="16"/>
      <c r="G431" s="17"/>
      <c r="H431" s="17"/>
      <c r="I431" s="17"/>
      <c r="J431" s="17"/>
      <c r="K431" s="17"/>
      <c r="L431" s="18" t="s">
        <v>848</v>
      </c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</row>
    <row r="432" spans="1:80" ht="16.149999999999999" customHeight="1" x14ac:dyDescent="0.25">
      <c r="A432" s="16"/>
      <c r="B432" s="16"/>
      <c r="C432" s="16"/>
      <c r="D432" s="16"/>
      <c r="E432" s="16"/>
      <c r="F432" s="16"/>
      <c r="G432" s="17"/>
      <c r="H432" s="17"/>
      <c r="I432" s="17"/>
      <c r="J432" s="17"/>
      <c r="K432" s="17"/>
      <c r="L432" s="18" t="s">
        <v>849</v>
      </c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</row>
    <row r="433" spans="1:80" ht="16.149999999999999" customHeight="1" x14ac:dyDescent="0.25">
      <c r="A433" s="16"/>
      <c r="B433" s="16"/>
      <c r="C433" s="16"/>
      <c r="D433" s="16"/>
      <c r="E433" s="16"/>
      <c r="F433" s="16"/>
      <c r="G433" s="17"/>
      <c r="H433" s="17"/>
      <c r="I433" s="17"/>
      <c r="J433" s="17"/>
      <c r="K433" s="17"/>
      <c r="L433" s="18" t="s">
        <v>850</v>
      </c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</row>
    <row r="434" spans="1:80" ht="16.149999999999999" customHeight="1" x14ac:dyDescent="0.25">
      <c r="A434" s="16"/>
      <c r="B434" s="16"/>
      <c r="C434" s="16"/>
      <c r="D434" s="16"/>
      <c r="E434" s="16"/>
      <c r="F434" s="16"/>
      <c r="G434" s="17"/>
      <c r="H434" s="17"/>
      <c r="I434" s="17"/>
      <c r="J434" s="17"/>
      <c r="K434" s="17"/>
      <c r="L434" s="18" t="s">
        <v>851</v>
      </c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</row>
    <row r="435" spans="1:80" ht="16.149999999999999" customHeight="1" x14ac:dyDescent="0.25">
      <c r="A435" s="16"/>
      <c r="B435" s="16"/>
      <c r="C435" s="16"/>
      <c r="D435" s="16"/>
      <c r="E435" s="16"/>
      <c r="F435" s="16"/>
      <c r="G435" s="17"/>
      <c r="H435" s="17"/>
      <c r="I435" s="17"/>
      <c r="J435" s="17"/>
      <c r="K435" s="17"/>
      <c r="L435" s="18" t="s">
        <v>852</v>
      </c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</row>
    <row r="436" spans="1:80" ht="16.149999999999999" customHeight="1" x14ac:dyDescent="0.25">
      <c r="A436" s="16"/>
      <c r="B436" s="16"/>
      <c r="C436" s="16"/>
      <c r="D436" s="16"/>
      <c r="E436" s="16"/>
      <c r="F436" s="16"/>
      <c r="G436" s="17"/>
      <c r="H436" s="17"/>
      <c r="I436" s="17"/>
      <c r="J436" s="17"/>
      <c r="K436" s="17"/>
      <c r="L436" s="18" t="s">
        <v>853</v>
      </c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</row>
    <row r="437" spans="1:80" ht="16.149999999999999" customHeight="1" x14ac:dyDescent="0.25">
      <c r="A437" s="16"/>
      <c r="B437" s="16"/>
      <c r="C437" s="16"/>
      <c r="D437" s="16"/>
      <c r="E437" s="16"/>
      <c r="F437" s="16"/>
      <c r="G437" s="17"/>
      <c r="H437" s="17"/>
      <c r="I437" s="17"/>
      <c r="J437" s="17"/>
      <c r="K437" s="17"/>
      <c r="L437" s="18" t="s">
        <v>854</v>
      </c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</row>
    <row r="438" spans="1:80" ht="16.149999999999999" customHeight="1" x14ac:dyDescent="0.25">
      <c r="A438" s="16"/>
      <c r="B438" s="16"/>
      <c r="C438" s="16"/>
      <c r="D438" s="16"/>
      <c r="E438" s="16"/>
      <c r="F438" s="16"/>
      <c r="G438" s="17"/>
      <c r="H438" s="17"/>
      <c r="I438" s="17"/>
      <c r="J438" s="17"/>
      <c r="K438" s="17"/>
      <c r="L438" s="18" t="s">
        <v>855</v>
      </c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</row>
    <row r="439" spans="1:80" ht="16.149999999999999" customHeight="1" x14ac:dyDescent="0.25">
      <c r="A439" s="16"/>
      <c r="B439" s="16"/>
      <c r="C439" s="16"/>
      <c r="D439" s="16"/>
      <c r="E439" s="16"/>
      <c r="F439" s="16"/>
      <c r="G439" s="17"/>
      <c r="H439" s="17"/>
      <c r="I439" s="17"/>
      <c r="J439" s="17"/>
      <c r="K439" s="17"/>
      <c r="L439" s="18" t="s">
        <v>856</v>
      </c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</row>
    <row r="440" spans="1:80" ht="16.149999999999999" customHeight="1" x14ac:dyDescent="0.25">
      <c r="A440" s="16"/>
      <c r="B440" s="16"/>
      <c r="C440" s="16"/>
      <c r="D440" s="16"/>
      <c r="E440" s="16"/>
      <c r="F440" s="16"/>
      <c r="G440" s="17"/>
      <c r="H440" s="17"/>
      <c r="I440" s="17"/>
      <c r="J440" s="17"/>
      <c r="K440" s="17"/>
      <c r="L440" s="18" t="s">
        <v>857</v>
      </c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</row>
    <row r="441" spans="1:80" ht="16.149999999999999" customHeight="1" x14ac:dyDescent="0.25">
      <c r="A441" s="16"/>
      <c r="B441" s="16"/>
      <c r="C441" s="16"/>
      <c r="D441" s="16"/>
      <c r="E441" s="16"/>
      <c r="F441" s="16"/>
      <c r="G441" s="17"/>
      <c r="H441" s="17"/>
      <c r="I441" s="17"/>
      <c r="J441" s="17"/>
      <c r="K441" s="17"/>
      <c r="L441" s="18" t="s">
        <v>858</v>
      </c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</row>
    <row r="442" spans="1:80" ht="16.149999999999999" customHeight="1" x14ac:dyDescent="0.25">
      <c r="A442" s="16"/>
      <c r="B442" s="16"/>
      <c r="C442" s="16"/>
      <c r="D442" s="16"/>
      <c r="E442" s="16"/>
      <c r="F442" s="16"/>
      <c r="G442" s="17"/>
      <c r="H442" s="17"/>
      <c r="I442" s="17"/>
      <c r="J442" s="17"/>
      <c r="K442" s="17"/>
      <c r="L442" s="18" t="s">
        <v>859</v>
      </c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</row>
    <row r="443" spans="1:80" ht="16.149999999999999" customHeight="1" x14ac:dyDescent="0.25">
      <c r="A443" s="16"/>
      <c r="B443" s="16"/>
      <c r="C443" s="16"/>
      <c r="D443" s="16"/>
      <c r="E443" s="16"/>
      <c r="F443" s="16"/>
      <c r="G443" s="17"/>
      <c r="H443" s="17"/>
      <c r="I443" s="17"/>
      <c r="J443" s="17"/>
      <c r="K443" s="17"/>
      <c r="L443" s="18" t="s">
        <v>860</v>
      </c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</row>
    <row r="444" spans="1:80" ht="16.149999999999999" customHeight="1" x14ac:dyDescent="0.25">
      <c r="A444" s="16"/>
      <c r="B444" s="16"/>
      <c r="C444" s="16"/>
      <c r="D444" s="16"/>
      <c r="E444" s="16"/>
      <c r="F444" s="16"/>
      <c r="G444" s="17"/>
      <c r="H444" s="17"/>
      <c r="I444" s="17"/>
      <c r="J444" s="17"/>
      <c r="K444" s="17"/>
      <c r="L444" s="18" t="s">
        <v>861</v>
      </c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</row>
    <row r="445" spans="1:80" ht="16.149999999999999" customHeight="1" x14ac:dyDescent="0.25">
      <c r="A445" s="16"/>
      <c r="B445" s="16"/>
      <c r="C445" s="16"/>
      <c r="D445" s="16"/>
      <c r="E445" s="16"/>
      <c r="F445" s="16"/>
      <c r="G445" s="17"/>
      <c r="H445" s="17"/>
      <c r="I445" s="17"/>
      <c r="J445" s="17"/>
      <c r="K445" s="17"/>
      <c r="L445" s="18" t="s">
        <v>862</v>
      </c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</row>
    <row r="446" spans="1:80" ht="16.149999999999999" customHeight="1" x14ac:dyDescent="0.25">
      <c r="A446" s="16"/>
      <c r="B446" s="16"/>
      <c r="C446" s="16"/>
      <c r="D446" s="16"/>
      <c r="E446" s="16"/>
      <c r="F446" s="16"/>
      <c r="G446" s="17"/>
      <c r="H446" s="17"/>
      <c r="I446" s="17"/>
      <c r="J446" s="17"/>
      <c r="K446" s="17"/>
      <c r="L446" s="18" t="s">
        <v>863</v>
      </c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</row>
    <row r="447" spans="1:80" ht="16.149999999999999" customHeight="1" x14ac:dyDescent="0.25">
      <c r="A447" s="16"/>
      <c r="B447" s="16"/>
      <c r="C447" s="16"/>
      <c r="D447" s="16"/>
      <c r="E447" s="16"/>
      <c r="F447" s="16"/>
      <c r="G447" s="17"/>
      <c r="H447" s="17"/>
      <c r="I447" s="17"/>
      <c r="J447" s="17"/>
      <c r="K447" s="17"/>
      <c r="L447" s="18" t="s">
        <v>864</v>
      </c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</row>
    <row r="448" spans="1:80" ht="16.149999999999999" customHeight="1" x14ac:dyDescent="0.25">
      <c r="A448" s="16"/>
      <c r="B448" s="16"/>
      <c r="C448" s="16"/>
      <c r="D448" s="16"/>
      <c r="E448" s="16"/>
      <c r="F448" s="16"/>
      <c r="G448" s="17"/>
      <c r="H448" s="17"/>
      <c r="I448" s="17"/>
      <c r="J448" s="17"/>
      <c r="K448" s="17"/>
      <c r="L448" s="18" t="s">
        <v>865</v>
      </c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</row>
    <row r="449" spans="1:80" ht="16.149999999999999" customHeight="1" x14ac:dyDescent="0.25">
      <c r="A449" s="16"/>
      <c r="B449" s="16"/>
      <c r="C449" s="16"/>
      <c r="D449" s="16"/>
      <c r="E449" s="16"/>
      <c r="F449" s="16"/>
      <c r="G449" s="17"/>
      <c r="H449" s="17"/>
      <c r="I449" s="17"/>
      <c r="J449" s="17"/>
      <c r="K449" s="17"/>
      <c r="L449" s="18" t="s">
        <v>866</v>
      </c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</row>
    <row r="450" spans="1:80" ht="16.149999999999999" customHeight="1" x14ac:dyDescent="0.25">
      <c r="A450" s="16"/>
      <c r="B450" s="16"/>
      <c r="C450" s="16"/>
      <c r="D450" s="16"/>
      <c r="E450" s="16"/>
      <c r="F450" s="16"/>
      <c r="G450" s="17"/>
      <c r="H450" s="17"/>
      <c r="I450" s="17"/>
      <c r="J450" s="17"/>
      <c r="K450" s="17"/>
      <c r="L450" s="18" t="s">
        <v>867</v>
      </c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</row>
    <row r="451" spans="1:80" ht="16.149999999999999" customHeight="1" x14ac:dyDescent="0.25">
      <c r="A451" s="16"/>
      <c r="B451" s="16"/>
      <c r="C451" s="16"/>
      <c r="D451" s="16"/>
      <c r="E451" s="16"/>
      <c r="F451" s="16"/>
      <c r="G451" s="17"/>
      <c r="H451" s="17"/>
      <c r="I451" s="17"/>
      <c r="J451" s="17"/>
      <c r="K451" s="17"/>
      <c r="L451" s="18" t="s">
        <v>868</v>
      </c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</row>
    <row r="452" spans="1:80" ht="16.149999999999999" customHeight="1" x14ac:dyDescent="0.25">
      <c r="A452" s="16"/>
      <c r="B452" s="16"/>
      <c r="C452" s="16"/>
      <c r="D452" s="16"/>
      <c r="E452" s="16"/>
      <c r="F452" s="16"/>
      <c r="G452" s="17"/>
      <c r="H452" s="17"/>
      <c r="I452" s="17"/>
      <c r="J452" s="17"/>
      <c r="K452" s="17"/>
      <c r="L452" s="18" t="s">
        <v>869</v>
      </c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</row>
    <row r="453" spans="1:80" ht="16.149999999999999" customHeight="1" x14ac:dyDescent="0.25">
      <c r="A453" s="16"/>
      <c r="B453" s="16"/>
      <c r="C453" s="16"/>
      <c r="D453" s="16"/>
      <c r="E453" s="16"/>
      <c r="F453" s="16"/>
      <c r="G453" s="17"/>
      <c r="H453" s="17"/>
      <c r="I453" s="17"/>
      <c r="J453" s="17"/>
      <c r="K453" s="17"/>
      <c r="L453" s="18" t="s">
        <v>870</v>
      </c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</row>
    <row r="454" spans="1:80" ht="16.149999999999999" customHeight="1" x14ac:dyDescent="0.25">
      <c r="A454" s="16"/>
      <c r="B454" s="16"/>
      <c r="C454" s="16"/>
      <c r="D454" s="16"/>
      <c r="E454" s="16"/>
      <c r="F454" s="16"/>
      <c r="G454" s="17"/>
      <c r="H454" s="17"/>
      <c r="I454" s="17"/>
      <c r="J454" s="17"/>
      <c r="K454" s="17"/>
      <c r="L454" s="18" t="s">
        <v>871</v>
      </c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</row>
    <row r="455" spans="1:80" ht="16.149999999999999" customHeight="1" x14ac:dyDescent="0.25">
      <c r="A455" s="16"/>
      <c r="B455" s="16"/>
      <c r="C455" s="16"/>
      <c r="D455" s="16"/>
      <c r="E455" s="16"/>
      <c r="F455" s="16"/>
      <c r="G455" s="17"/>
      <c r="H455" s="17"/>
      <c r="I455" s="17"/>
      <c r="J455" s="17"/>
      <c r="K455" s="17"/>
      <c r="L455" s="18" t="s">
        <v>872</v>
      </c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</row>
    <row r="456" spans="1:80" ht="16.149999999999999" customHeight="1" x14ac:dyDescent="0.25">
      <c r="A456" s="16"/>
      <c r="B456" s="16"/>
      <c r="C456" s="16"/>
      <c r="D456" s="16"/>
      <c r="E456" s="16"/>
      <c r="F456" s="16"/>
      <c r="G456" s="17"/>
      <c r="H456" s="17"/>
      <c r="I456" s="17"/>
      <c r="J456" s="17"/>
      <c r="K456" s="17"/>
      <c r="L456" s="18" t="s">
        <v>873</v>
      </c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</row>
    <row r="457" spans="1:80" ht="16.149999999999999" customHeight="1" x14ac:dyDescent="0.25">
      <c r="A457" s="16"/>
      <c r="B457" s="16"/>
      <c r="C457" s="16"/>
      <c r="D457" s="16"/>
      <c r="E457" s="16"/>
      <c r="F457" s="16"/>
      <c r="G457" s="17"/>
      <c r="H457" s="17"/>
      <c r="I457" s="17"/>
      <c r="J457" s="17"/>
      <c r="K457" s="17"/>
      <c r="L457" s="18" t="s">
        <v>874</v>
      </c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</row>
    <row r="458" spans="1:80" ht="16.149999999999999" customHeight="1" x14ac:dyDescent="0.25">
      <c r="A458" s="16"/>
      <c r="B458" s="16"/>
      <c r="C458" s="16"/>
      <c r="D458" s="16"/>
      <c r="E458" s="16"/>
      <c r="F458" s="16"/>
      <c r="G458" s="17"/>
      <c r="H458" s="17"/>
      <c r="I458" s="17"/>
      <c r="J458" s="17"/>
      <c r="K458" s="17"/>
      <c r="L458" s="18" t="s">
        <v>875</v>
      </c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</row>
    <row r="459" spans="1:80" ht="16.149999999999999" customHeight="1" x14ac:dyDescent="0.25">
      <c r="A459" s="16"/>
      <c r="B459" s="16"/>
      <c r="C459" s="16"/>
      <c r="D459" s="16"/>
      <c r="E459" s="16"/>
      <c r="F459" s="16"/>
      <c r="G459" s="17"/>
      <c r="H459" s="17"/>
      <c r="I459" s="17"/>
      <c r="J459" s="17"/>
      <c r="K459" s="17"/>
      <c r="L459" s="18" t="s">
        <v>876</v>
      </c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</row>
    <row r="460" spans="1:80" ht="16.149999999999999" customHeight="1" x14ac:dyDescent="0.25">
      <c r="A460" s="16"/>
      <c r="B460" s="16"/>
      <c r="C460" s="16"/>
      <c r="D460" s="16"/>
      <c r="E460" s="16"/>
      <c r="F460" s="16"/>
      <c r="G460" s="17"/>
      <c r="H460" s="17"/>
      <c r="I460" s="17"/>
      <c r="J460" s="17"/>
      <c r="K460" s="17"/>
      <c r="L460" s="18" t="s">
        <v>877</v>
      </c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</row>
    <row r="461" spans="1:80" ht="16.149999999999999" customHeight="1" x14ac:dyDescent="0.25">
      <c r="A461" s="16"/>
      <c r="B461" s="16"/>
      <c r="C461" s="16"/>
      <c r="D461" s="16"/>
      <c r="E461" s="16"/>
      <c r="F461" s="16"/>
      <c r="G461" s="17"/>
      <c r="H461" s="17"/>
      <c r="I461" s="17"/>
      <c r="J461" s="17"/>
      <c r="K461" s="17"/>
      <c r="L461" s="18" t="s">
        <v>878</v>
      </c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</row>
    <row r="462" spans="1:80" ht="16.149999999999999" customHeight="1" x14ac:dyDescent="0.25">
      <c r="A462" s="16"/>
      <c r="B462" s="16"/>
      <c r="C462" s="16"/>
      <c r="D462" s="16"/>
      <c r="E462" s="16"/>
      <c r="F462" s="16"/>
      <c r="G462" s="17"/>
      <c r="H462" s="17"/>
      <c r="I462" s="17"/>
      <c r="J462" s="17"/>
      <c r="K462" s="17"/>
      <c r="L462" s="18" t="s">
        <v>879</v>
      </c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</row>
    <row r="463" spans="1:80" ht="16.149999999999999" customHeight="1" x14ac:dyDescent="0.25">
      <c r="A463" s="16"/>
      <c r="B463" s="16"/>
      <c r="C463" s="16"/>
      <c r="D463" s="16"/>
      <c r="E463" s="16"/>
      <c r="F463" s="16"/>
      <c r="G463" s="17"/>
      <c r="H463" s="17"/>
      <c r="I463" s="17"/>
      <c r="J463" s="17"/>
      <c r="K463" s="17"/>
      <c r="L463" s="18" t="s">
        <v>880</v>
      </c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</row>
    <row r="464" spans="1:80" ht="16.149999999999999" customHeight="1" x14ac:dyDescent="0.25">
      <c r="A464" s="16"/>
      <c r="B464" s="16"/>
      <c r="C464" s="16"/>
      <c r="D464" s="16"/>
      <c r="E464" s="16"/>
      <c r="F464" s="16"/>
      <c r="G464" s="17"/>
      <c r="H464" s="17"/>
      <c r="I464" s="17"/>
      <c r="J464" s="17"/>
      <c r="K464" s="17"/>
      <c r="L464" s="18" t="s">
        <v>881</v>
      </c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</row>
    <row r="465" spans="1:80" ht="16.149999999999999" customHeight="1" x14ac:dyDescent="0.25">
      <c r="A465" s="16"/>
      <c r="B465" s="16"/>
      <c r="C465" s="16"/>
      <c r="D465" s="16"/>
      <c r="E465" s="16"/>
      <c r="F465" s="16"/>
      <c r="G465" s="17"/>
      <c r="H465" s="17"/>
      <c r="I465" s="17"/>
      <c r="J465" s="17"/>
      <c r="K465" s="17"/>
      <c r="L465" s="18" t="s">
        <v>882</v>
      </c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</row>
    <row r="466" spans="1:80" ht="16.149999999999999" customHeight="1" x14ac:dyDescent="0.25">
      <c r="A466" s="16"/>
      <c r="B466" s="16"/>
      <c r="C466" s="16"/>
      <c r="D466" s="16"/>
      <c r="E466" s="16"/>
      <c r="F466" s="16"/>
      <c r="G466" s="17"/>
      <c r="H466" s="17"/>
      <c r="I466" s="17"/>
      <c r="J466" s="17"/>
      <c r="K466" s="17"/>
      <c r="L466" s="18" t="s">
        <v>883</v>
      </c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</row>
    <row r="467" spans="1:80" ht="16.149999999999999" customHeight="1" x14ac:dyDescent="0.25">
      <c r="A467" s="16"/>
      <c r="B467" s="16"/>
      <c r="C467" s="16"/>
      <c r="D467" s="16"/>
      <c r="E467" s="16"/>
      <c r="F467" s="16"/>
      <c r="G467" s="17"/>
      <c r="H467" s="17"/>
      <c r="I467" s="17"/>
      <c r="J467" s="17"/>
      <c r="K467" s="17"/>
      <c r="L467" s="18" t="s">
        <v>884</v>
      </c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</row>
    <row r="468" spans="1:80" ht="16.149999999999999" customHeight="1" x14ac:dyDescent="0.25">
      <c r="A468" s="16"/>
      <c r="B468" s="16"/>
      <c r="C468" s="16"/>
      <c r="D468" s="16"/>
      <c r="E468" s="16"/>
      <c r="F468" s="16"/>
      <c r="G468" s="17"/>
      <c r="H468" s="17"/>
      <c r="I468" s="17"/>
      <c r="J468" s="17"/>
      <c r="K468" s="17"/>
      <c r="L468" s="18" t="s">
        <v>885</v>
      </c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</row>
    <row r="469" spans="1:80" ht="16.149999999999999" customHeight="1" x14ac:dyDescent="0.25">
      <c r="A469" s="16"/>
      <c r="B469" s="16"/>
      <c r="C469" s="16"/>
      <c r="D469" s="16"/>
      <c r="E469" s="16"/>
      <c r="F469" s="16"/>
      <c r="G469" s="17"/>
      <c r="H469" s="17"/>
      <c r="I469" s="17"/>
      <c r="J469" s="17"/>
      <c r="K469" s="17"/>
      <c r="L469" s="18" t="s">
        <v>886</v>
      </c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</row>
    <row r="470" spans="1:80" ht="16.149999999999999" customHeight="1" x14ac:dyDescent="0.25">
      <c r="A470" s="16"/>
      <c r="B470" s="16"/>
      <c r="C470" s="16"/>
      <c r="D470" s="16"/>
      <c r="E470" s="16"/>
      <c r="F470" s="16"/>
      <c r="G470" s="17"/>
      <c r="H470" s="17"/>
      <c r="I470" s="17"/>
      <c r="J470" s="17"/>
      <c r="K470" s="17"/>
      <c r="L470" s="18" t="s">
        <v>887</v>
      </c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</row>
    <row r="471" spans="1:80" ht="16.149999999999999" customHeight="1" x14ac:dyDescent="0.25">
      <c r="A471" s="16"/>
      <c r="B471" s="16"/>
      <c r="C471" s="16"/>
      <c r="D471" s="16"/>
      <c r="E471" s="16"/>
      <c r="F471" s="16"/>
      <c r="G471" s="17"/>
      <c r="H471" s="17"/>
      <c r="I471" s="17"/>
      <c r="J471" s="17"/>
      <c r="K471" s="17"/>
      <c r="L471" s="18" t="s">
        <v>888</v>
      </c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</row>
    <row r="472" spans="1:80" ht="16.149999999999999" customHeight="1" x14ac:dyDescent="0.25">
      <c r="A472" s="16"/>
      <c r="B472" s="16"/>
      <c r="C472" s="16"/>
      <c r="D472" s="16"/>
      <c r="E472" s="16"/>
      <c r="F472" s="16"/>
      <c r="G472" s="17"/>
      <c r="H472" s="17"/>
      <c r="I472" s="17"/>
      <c r="J472" s="17"/>
      <c r="K472" s="17"/>
      <c r="L472" s="18" t="s">
        <v>889</v>
      </c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</row>
    <row r="473" spans="1:80" ht="16.149999999999999" customHeight="1" x14ac:dyDescent="0.25">
      <c r="A473" s="16"/>
      <c r="B473" s="16"/>
      <c r="C473" s="16"/>
      <c r="D473" s="16"/>
      <c r="E473" s="16"/>
      <c r="F473" s="16"/>
      <c r="G473" s="17"/>
      <c r="H473" s="17"/>
      <c r="I473" s="17"/>
      <c r="J473" s="17"/>
      <c r="K473" s="17"/>
      <c r="L473" s="18" t="s">
        <v>890</v>
      </c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</row>
    <row r="474" spans="1:80" ht="16.149999999999999" customHeight="1" x14ac:dyDescent="0.25">
      <c r="A474" s="16"/>
      <c r="B474" s="16"/>
      <c r="C474" s="16"/>
      <c r="D474" s="16"/>
      <c r="E474" s="16"/>
      <c r="F474" s="16"/>
      <c r="G474" s="17"/>
      <c r="H474" s="17"/>
      <c r="I474" s="17"/>
      <c r="J474" s="17"/>
      <c r="K474" s="17"/>
      <c r="L474" s="18" t="s">
        <v>891</v>
      </c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</row>
    <row r="475" spans="1:80" ht="16.149999999999999" customHeight="1" x14ac:dyDescent="0.25">
      <c r="A475" s="16"/>
      <c r="B475" s="16"/>
      <c r="C475" s="16"/>
      <c r="D475" s="16"/>
      <c r="E475" s="16"/>
      <c r="F475" s="16"/>
      <c r="G475" s="17"/>
      <c r="H475" s="17"/>
      <c r="I475" s="17"/>
      <c r="J475" s="17"/>
      <c r="K475" s="17"/>
      <c r="L475" s="18" t="s">
        <v>892</v>
      </c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</row>
    <row r="476" spans="1:80" ht="16.149999999999999" customHeight="1" x14ac:dyDescent="0.25">
      <c r="A476" s="16"/>
      <c r="B476" s="16"/>
      <c r="C476" s="16"/>
      <c r="D476" s="16"/>
      <c r="E476" s="16"/>
      <c r="F476" s="16"/>
      <c r="G476" s="17"/>
      <c r="H476" s="17"/>
      <c r="I476" s="17"/>
      <c r="J476" s="17"/>
      <c r="K476" s="17"/>
      <c r="L476" s="18" t="s">
        <v>893</v>
      </c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</row>
    <row r="477" spans="1:80" ht="16.149999999999999" customHeight="1" x14ac:dyDescent="0.25">
      <c r="A477" s="16"/>
      <c r="B477" s="16"/>
      <c r="C477" s="16"/>
      <c r="D477" s="16"/>
      <c r="E477" s="16"/>
      <c r="F477" s="16"/>
      <c r="G477" s="17"/>
      <c r="H477" s="17"/>
      <c r="I477" s="17"/>
      <c r="J477" s="17"/>
      <c r="K477" s="17"/>
      <c r="L477" s="18" t="s">
        <v>894</v>
      </c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</row>
    <row r="478" spans="1:80" ht="16.149999999999999" customHeight="1" x14ac:dyDescent="0.25">
      <c r="A478" s="16"/>
      <c r="B478" s="16"/>
      <c r="C478" s="16"/>
      <c r="D478" s="16"/>
      <c r="E478" s="16"/>
      <c r="F478" s="16"/>
      <c r="G478" s="17"/>
      <c r="H478" s="17"/>
      <c r="I478" s="17"/>
      <c r="J478" s="17"/>
      <c r="K478" s="17"/>
      <c r="L478" s="18" t="s">
        <v>895</v>
      </c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</row>
    <row r="479" spans="1:80" ht="16.149999999999999" customHeight="1" x14ac:dyDescent="0.25">
      <c r="A479" s="16"/>
      <c r="B479" s="16"/>
      <c r="C479" s="16"/>
      <c r="D479" s="16"/>
      <c r="E479" s="16"/>
      <c r="F479" s="16"/>
      <c r="G479" s="17"/>
      <c r="H479" s="17"/>
      <c r="I479" s="17"/>
      <c r="J479" s="17"/>
      <c r="K479" s="17"/>
      <c r="L479" s="18" t="s">
        <v>896</v>
      </c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</row>
    <row r="480" spans="1:80" ht="16.149999999999999" customHeight="1" x14ac:dyDescent="0.25">
      <c r="A480" s="16"/>
      <c r="B480" s="16"/>
      <c r="C480" s="16"/>
      <c r="D480" s="16"/>
      <c r="E480" s="16"/>
      <c r="F480" s="16"/>
      <c r="G480" s="17"/>
      <c r="H480" s="17"/>
      <c r="I480" s="17"/>
      <c r="J480" s="17"/>
      <c r="K480" s="17"/>
      <c r="L480" s="18" t="s">
        <v>897</v>
      </c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</row>
    <row r="481" spans="1:80" ht="16.149999999999999" customHeight="1" x14ac:dyDescent="0.25">
      <c r="A481" s="16"/>
      <c r="B481" s="16"/>
      <c r="C481" s="16"/>
      <c r="D481" s="16"/>
      <c r="E481" s="16"/>
      <c r="F481" s="16"/>
      <c r="G481" s="17"/>
      <c r="H481" s="17"/>
      <c r="I481" s="17"/>
      <c r="J481" s="17"/>
      <c r="K481" s="17"/>
      <c r="L481" s="18" t="s">
        <v>898</v>
      </c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</row>
    <row r="482" spans="1:80" ht="16.149999999999999" customHeight="1" x14ac:dyDescent="0.25">
      <c r="A482" s="16"/>
      <c r="B482" s="16"/>
      <c r="C482" s="16"/>
      <c r="D482" s="16"/>
      <c r="E482" s="16"/>
      <c r="F482" s="16"/>
      <c r="G482" s="17"/>
      <c r="H482" s="17"/>
      <c r="I482" s="17"/>
      <c r="J482" s="17"/>
      <c r="K482" s="17"/>
      <c r="L482" s="18" t="s">
        <v>899</v>
      </c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</row>
    <row r="483" spans="1:80" ht="16.149999999999999" customHeight="1" x14ac:dyDescent="0.25">
      <c r="A483" s="16"/>
      <c r="B483" s="16"/>
      <c r="C483" s="16"/>
      <c r="D483" s="16"/>
      <c r="E483" s="16"/>
      <c r="F483" s="16"/>
      <c r="G483" s="17"/>
      <c r="H483" s="17"/>
      <c r="I483" s="17"/>
      <c r="J483" s="17"/>
      <c r="K483" s="17"/>
      <c r="L483" s="18" t="s">
        <v>900</v>
      </c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</row>
    <row r="484" spans="1:80" ht="16.149999999999999" customHeight="1" x14ac:dyDescent="0.25">
      <c r="A484" s="16"/>
      <c r="B484" s="16"/>
      <c r="C484" s="16"/>
      <c r="D484" s="16"/>
      <c r="E484" s="16"/>
      <c r="F484" s="16"/>
      <c r="G484" s="17"/>
      <c r="H484" s="17"/>
      <c r="I484" s="17"/>
      <c r="J484" s="17"/>
      <c r="K484" s="17"/>
      <c r="L484" s="18" t="s">
        <v>901</v>
      </c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</row>
    <row r="485" spans="1:80" ht="16.149999999999999" customHeight="1" x14ac:dyDescent="0.25">
      <c r="A485" s="16"/>
      <c r="B485" s="16"/>
      <c r="C485" s="16"/>
      <c r="D485" s="16"/>
      <c r="E485" s="16"/>
      <c r="F485" s="16"/>
      <c r="G485" s="17"/>
      <c r="H485" s="17"/>
      <c r="I485" s="17"/>
      <c r="J485" s="17"/>
      <c r="K485" s="17"/>
      <c r="L485" s="18" t="s">
        <v>902</v>
      </c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</row>
    <row r="486" spans="1:80" ht="16.149999999999999" customHeight="1" x14ac:dyDescent="0.25">
      <c r="A486" s="16"/>
      <c r="B486" s="16"/>
      <c r="C486" s="16"/>
      <c r="D486" s="16"/>
      <c r="E486" s="16"/>
      <c r="F486" s="16"/>
      <c r="G486" s="17"/>
      <c r="H486" s="17"/>
      <c r="I486" s="17"/>
      <c r="J486" s="17"/>
      <c r="K486" s="17"/>
      <c r="L486" s="18" t="s">
        <v>903</v>
      </c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</row>
    <row r="487" spans="1:80" ht="16.149999999999999" customHeight="1" x14ac:dyDescent="0.25">
      <c r="A487" s="16"/>
      <c r="B487" s="16"/>
      <c r="C487" s="16"/>
      <c r="D487" s="16"/>
      <c r="E487" s="16"/>
      <c r="F487" s="16"/>
      <c r="G487" s="17"/>
      <c r="H487" s="17"/>
      <c r="I487" s="17"/>
      <c r="J487" s="17"/>
      <c r="K487" s="17"/>
      <c r="L487" s="18" t="s">
        <v>904</v>
      </c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</row>
    <row r="488" spans="1:80" ht="16.149999999999999" customHeight="1" x14ac:dyDescent="0.25">
      <c r="A488" s="16"/>
      <c r="B488" s="16"/>
      <c r="C488" s="16"/>
      <c r="D488" s="16"/>
      <c r="E488" s="16"/>
      <c r="F488" s="16"/>
      <c r="G488" s="17"/>
      <c r="H488" s="17"/>
      <c r="I488" s="17"/>
      <c r="J488" s="17"/>
      <c r="K488" s="17"/>
      <c r="L488" s="18" t="s">
        <v>905</v>
      </c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</row>
    <row r="489" spans="1:80" ht="16.149999999999999" customHeight="1" x14ac:dyDescent="0.25">
      <c r="A489" s="16"/>
      <c r="B489" s="16"/>
      <c r="C489" s="16"/>
      <c r="D489" s="16"/>
      <c r="E489" s="16"/>
      <c r="F489" s="16"/>
      <c r="G489" s="17"/>
      <c r="H489" s="17"/>
      <c r="I489" s="17"/>
      <c r="J489" s="17"/>
      <c r="K489" s="17"/>
      <c r="L489" s="18" t="s">
        <v>906</v>
      </c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</row>
    <row r="490" spans="1:80" ht="16.149999999999999" customHeight="1" x14ac:dyDescent="0.25">
      <c r="A490" s="16"/>
      <c r="B490" s="16"/>
      <c r="C490" s="16"/>
      <c r="D490" s="16"/>
      <c r="E490" s="16"/>
      <c r="F490" s="16"/>
      <c r="G490" s="17"/>
      <c r="H490" s="17"/>
      <c r="I490" s="17"/>
      <c r="J490" s="17"/>
      <c r="K490" s="17"/>
      <c r="L490" s="18" t="s">
        <v>907</v>
      </c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</row>
    <row r="491" spans="1:80" ht="16.149999999999999" customHeight="1" x14ac:dyDescent="0.25">
      <c r="A491" s="16"/>
      <c r="B491" s="16"/>
      <c r="C491" s="16"/>
      <c r="D491" s="16"/>
      <c r="E491" s="16"/>
      <c r="F491" s="16"/>
      <c r="G491" s="17"/>
      <c r="H491" s="17"/>
      <c r="I491" s="17"/>
      <c r="J491" s="17"/>
      <c r="K491" s="17"/>
      <c r="L491" s="18" t="s">
        <v>908</v>
      </c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</row>
    <row r="492" spans="1:80" ht="16.149999999999999" customHeight="1" x14ac:dyDescent="0.25">
      <c r="A492" s="16"/>
      <c r="B492" s="16"/>
      <c r="C492" s="16"/>
      <c r="D492" s="16"/>
      <c r="E492" s="16"/>
      <c r="F492" s="16"/>
      <c r="G492" s="17"/>
      <c r="H492" s="17"/>
      <c r="I492" s="17"/>
      <c r="J492" s="17"/>
      <c r="K492" s="17"/>
      <c r="L492" s="18" t="s">
        <v>909</v>
      </c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</row>
    <row r="493" spans="1:80" ht="16.149999999999999" customHeight="1" x14ac:dyDescent="0.25">
      <c r="A493" s="16"/>
      <c r="B493" s="16"/>
      <c r="C493" s="16"/>
      <c r="D493" s="16"/>
      <c r="E493" s="16"/>
      <c r="F493" s="16"/>
      <c r="G493" s="17"/>
      <c r="H493" s="17"/>
      <c r="I493" s="17"/>
      <c r="J493" s="17"/>
      <c r="K493" s="17"/>
      <c r="L493" s="18" t="s">
        <v>910</v>
      </c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</row>
    <row r="494" spans="1:80" ht="16.149999999999999" customHeight="1" x14ac:dyDescent="0.25">
      <c r="A494" s="16"/>
      <c r="B494" s="16"/>
      <c r="C494" s="16"/>
      <c r="D494" s="16"/>
      <c r="E494" s="16"/>
      <c r="F494" s="16"/>
      <c r="G494" s="17"/>
      <c r="H494" s="17"/>
      <c r="I494" s="17"/>
      <c r="J494" s="17"/>
      <c r="K494" s="17"/>
      <c r="L494" s="18" t="s">
        <v>911</v>
      </c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</row>
    <row r="495" spans="1:80" ht="16.149999999999999" customHeight="1" x14ac:dyDescent="0.25">
      <c r="A495" s="16"/>
      <c r="B495" s="16"/>
      <c r="C495" s="16"/>
      <c r="D495" s="16"/>
      <c r="E495" s="16"/>
      <c r="F495" s="16"/>
      <c r="G495" s="17"/>
      <c r="H495" s="17"/>
      <c r="I495" s="17"/>
      <c r="J495" s="17"/>
      <c r="K495" s="17"/>
      <c r="L495" s="18" t="s">
        <v>912</v>
      </c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</row>
    <row r="496" spans="1:80" ht="16.149999999999999" customHeight="1" x14ac:dyDescent="0.25">
      <c r="A496" s="16"/>
      <c r="B496" s="16"/>
      <c r="C496" s="16"/>
      <c r="D496" s="16"/>
      <c r="E496" s="16"/>
      <c r="F496" s="16"/>
      <c r="G496" s="17"/>
      <c r="H496" s="17"/>
      <c r="I496" s="17"/>
      <c r="J496" s="17"/>
      <c r="K496" s="17"/>
      <c r="L496" s="18" t="s">
        <v>913</v>
      </c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</row>
    <row r="497" spans="1:80" ht="16.149999999999999" customHeight="1" x14ac:dyDescent="0.25">
      <c r="A497" s="16"/>
      <c r="B497" s="16"/>
      <c r="C497" s="16"/>
      <c r="D497" s="16"/>
      <c r="E497" s="16"/>
      <c r="F497" s="16"/>
      <c r="G497" s="17"/>
      <c r="H497" s="17"/>
      <c r="I497" s="17"/>
      <c r="J497" s="17"/>
      <c r="K497" s="17"/>
      <c r="L497" s="18" t="s">
        <v>914</v>
      </c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</row>
    <row r="498" spans="1:80" ht="16.149999999999999" customHeight="1" x14ac:dyDescent="0.25">
      <c r="A498" s="16"/>
      <c r="B498" s="16"/>
      <c r="C498" s="16"/>
      <c r="D498" s="16"/>
      <c r="E498" s="16"/>
      <c r="F498" s="16"/>
      <c r="G498" s="17"/>
      <c r="H498" s="17"/>
      <c r="I498" s="17"/>
      <c r="J498" s="17"/>
      <c r="K498" s="17"/>
      <c r="L498" s="18" t="s">
        <v>915</v>
      </c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</row>
    <row r="499" spans="1:80" ht="16.149999999999999" customHeight="1" x14ac:dyDescent="0.25">
      <c r="A499" s="16"/>
      <c r="B499" s="16"/>
      <c r="C499" s="16"/>
      <c r="D499" s="16"/>
      <c r="E499" s="16"/>
      <c r="F499" s="16"/>
      <c r="G499" s="17"/>
      <c r="H499" s="17"/>
      <c r="I499" s="17"/>
      <c r="J499" s="17"/>
      <c r="K499" s="17"/>
      <c r="L499" s="18" t="s">
        <v>916</v>
      </c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</row>
    <row r="500" spans="1:80" ht="16.149999999999999" customHeight="1" x14ac:dyDescent="0.25">
      <c r="A500" s="16"/>
      <c r="B500" s="16"/>
      <c r="C500" s="16"/>
      <c r="D500" s="16"/>
      <c r="E500" s="16"/>
      <c r="F500" s="16"/>
      <c r="G500" s="17"/>
      <c r="H500" s="17"/>
      <c r="I500" s="17"/>
      <c r="J500" s="17"/>
      <c r="K500" s="17"/>
      <c r="L500" s="18" t="s">
        <v>917</v>
      </c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</row>
    <row r="501" spans="1:80" ht="16.149999999999999" customHeight="1" x14ac:dyDescent="0.25">
      <c r="A501" s="16"/>
      <c r="B501" s="16"/>
      <c r="C501" s="16"/>
      <c r="D501" s="16"/>
      <c r="E501" s="16"/>
      <c r="F501" s="16"/>
      <c r="G501" s="17"/>
      <c r="H501" s="17"/>
      <c r="I501" s="17"/>
      <c r="J501" s="17"/>
      <c r="K501" s="17"/>
      <c r="L501" s="18" t="s">
        <v>918</v>
      </c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</row>
    <row r="502" spans="1:80" ht="16.149999999999999" customHeight="1" x14ac:dyDescent="0.25">
      <c r="A502" s="16"/>
      <c r="B502" s="16"/>
      <c r="C502" s="16"/>
      <c r="D502" s="16"/>
      <c r="E502" s="16"/>
      <c r="F502" s="16"/>
      <c r="G502" s="17"/>
      <c r="H502" s="17"/>
      <c r="I502" s="17"/>
      <c r="J502" s="17"/>
      <c r="K502" s="17"/>
      <c r="L502" s="18" t="s">
        <v>919</v>
      </c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</row>
    <row r="503" spans="1:80" ht="16.149999999999999" customHeight="1" x14ac:dyDescent="0.25">
      <c r="A503" s="16"/>
      <c r="B503" s="16"/>
      <c r="C503" s="16"/>
      <c r="D503" s="16"/>
      <c r="E503" s="16"/>
      <c r="F503" s="16"/>
      <c r="G503" s="17"/>
      <c r="H503" s="17"/>
      <c r="I503" s="17"/>
      <c r="J503" s="17"/>
      <c r="K503" s="17"/>
      <c r="L503" s="18" t="s">
        <v>920</v>
      </c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</row>
    <row r="504" spans="1:80" ht="16.149999999999999" customHeight="1" x14ac:dyDescent="0.25">
      <c r="A504" s="16"/>
      <c r="B504" s="16"/>
      <c r="C504" s="16"/>
      <c r="D504" s="16"/>
      <c r="E504" s="16"/>
      <c r="F504" s="16"/>
      <c r="G504" s="17"/>
      <c r="H504" s="17"/>
      <c r="I504" s="17"/>
      <c r="J504" s="17"/>
      <c r="K504" s="17"/>
      <c r="L504" s="18" t="s">
        <v>921</v>
      </c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</row>
    <row r="505" spans="1:80" ht="16.149999999999999" customHeight="1" x14ac:dyDescent="0.25">
      <c r="A505" s="16"/>
      <c r="B505" s="16"/>
      <c r="C505" s="16"/>
      <c r="D505" s="16"/>
      <c r="E505" s="16"/>
      <c r="F505" s="16"/>
      <c r="G505" s="17"/>
      <c r="H505" s="17"/>
      <c r="I505" s="17"/>
      <c r="J505" s="17"/>
      <c r="K505" s="17"/>
      <c r="L505" s="18" t="s">
        <v>922</v>
      </c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</row>
    <row r="506" spans="1:80" ht="16.149999999999999" customHeight="1" x14ac:dyDescent="0.25">
      <c r="A506" s="16"/>
      <c r="B506" s="16"/>
      <c r="C506" s="16"/>
      <c r="D506" s="16"/>
      <c r="E506" s="16"/>
      <c r="F506" s="16"/>
      <c r="G506" s="17"/>
      <c r="H506" s="17"/>
      <c r="I506" s="17"/>
      <c r="J506" s="17"/>
      <c r="K506" s="17"/>
      <c r="L506" s="18" t="s">
        <v>923</v>
      </c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</row>
    <row r="507" spans="1:80" ht="16.149999999999999" customHeight="1" x14ac:dyDescent="0.25">
      <c r="A507" s="16"/>
      <c r="B507" s="16"/>
      <c r="C507" s="16"/>
      <c r="D507" s="16"/>
      <c r="E507" s="16"/>
      <c r="F507" s="16"/>
      <c r="G507" s="17"/>
      <c r="H507" s="17"/>
      <c r="I507" s="17"/>
      <c r="J507" s="17"/>
      <c r="K507" s="17"/>
      <c r="L507" s="18" t="s">
        <v>924</v>
      </c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</row>
    <row r="508" spans="1:80" ht="16.149999999999999" customHeight="1" x14ac:dyDescent="0.25">
      <c r="A508" s="16"/>
      <c r="B508" s="16"/>
      <c r="C508" s="16"/>
      <c r="D508" s="16"/>
      <c r="E508" s="16"/>
      <c r="F508" s="16"/>
      <c r="G508" s="17"/>
      <c r="H508" s="17"/>
      <c r="I508" s="17"/>
      <c r="J508" s="17"/>
      <c r="K508" s="17"/>
      <c r="L508" s="18" t="s">
        <v>925</v>
      </c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</row>
    <row r="509" spans="1:80" ht="16.149999999999999" customHeight="1" x14ac:dyDescent="0.25">
      <c r="A509" s="16"/>
      <c r="B509" s="16"/>
      <c r="C509" s="16"/>
      <c r="D509" s="16"/>
      <c r="E509" s="16"/>
      <c r="F509" s="16"/>
      <c r="G509" s="17"/>
      <c r="H509" s="17"/>
      <c r="I509" s="17"/>
      <c r="J509" s="17"/>
      <c r="K509" s="17"/>
      <c r="L509" s="18" t="s">
        <v>926</v>
      </c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</row>
    <row r="510" spans="1:80" ht="16.149999999999999" customHeight="1" x14ac:dyDescent="0.25">
      <c r="A510" s="16"/>
      <c r="B510" s="16"/>
      <c r="C510" s="16"/>
      <c r="D510" s="16"/>
      <c r="E510" s="16"/>
      <c r="F510" s="16"/>
      <c r="G510" s="17"/>
      <c r="H510" s="17"/>
      <c r="I510" s="17"/>
      <c r="J510" s="17"/>
      <c r="K510" s="17"/>
      <c r="L510" s="18" t="s">
        <v>927</v>
      </c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</row>
    <row r="511" spans="1:80" ht="16.149999999999999" customHeight="1" x14ac:dyDescent="0.25">
      <c r="A511" s="16"/>
      <c r="B511" s="16"/>
      <c r="C511" s="16"/>
      <c r="D511" s="16"/>
      <c r="E511" s="16"/>
      <c r="F511" s="16"/>
      <c r="G511" s="17"/>
      <c r="H511" s="17"/>
      <c r="I511" s="17"/>
      <c r="J511" s="17"/>
      <c r="K511" s="17"/>
      <c r="L511" s="18" t="s">
        <v>928</v>
      </c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</row>
    <row r="512" spans="1:80" ht="16.149999999999999" customHeight="1" x14ac:dyDescent="0.25">
      <c r="A512" s="16"/>
      <c r="B512" s="16"/>
      <c r="C512" s="16"/>
      <c r="D512" s="16"/>
      <c r="E512" s="16"/>
      <c r="F512" s="16"/>
      <c r="G512" s="17"/>
      <c r="H512" s="17"/>
      <c r="I512" s="17"/>
      <c r="J512" s="17"/>
      <c r="K512" s="17"/>
      <c r="L512" s="18" t="s">
        <v>929</v>
      </c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</row>
    <row r="513" spans="1:80" ht="16.149999999999999" customHeight="1" x14ac:dyDescent="0.25">
      <c r="A513" s="16"/>
      <c r="B513" s="16"/>
      <c r="C513" s="16"/>
      <c r="D513" s="16"/>
      <c r="E513" s="16"/>
      <c r="F513" s="16"/>
      <c r="G513" s="17"/>
      <c r="H513" s="17"/>
      <c r="I513" s="17"/>
      <c r="J513" s="17"/>
      <c r="K513" s="17"/>
      <c r="L513" s="18" t="s">
        <v>930</v>
      </c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</row>
    <row r="514" spans="1:80" ht="16.149999999999999" customHeight="1" x14ac:dyDescent="0.25">
      <c r="A514" s="16"/>
      <c r="B514" s="16"/>
      <c r="C514" s="16"/>
      <c r="D514" s="16"/>
      <c r="E514" s="16"/>
      <c r="F514" s="16"/>
      <c r="G514" s="17"/>
      <c r="H514" s="17"/>
      <c r="I514" s="17"/>
      <c r="J514" s="17"/>
      <c r="K514" s="17"/>
      <c r="L514" s="18" t="s">
        <v>931</v>
      </c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</row>
    <row r="515" spans="1:80" ht="16.149999999999999" customHeight="1" x14ac:dyDescent="0.25">
      <c r="A515" s="16"/>
      <c r="B515" s="16"/>
      <c r="C515" s="16"/>
      <c r="D515" s="16"/>
      <c r="E515" s="16"/>
      <c r="F515" s="16"/>
      <c r="G515" s="17"/>
      <c r="H515" s="17"/>
      <c r="I515" s="17"/>
      <c r="J515" s="17"/>
      <c r="K515" s="17"/>
      <c r="L515" s="18" t="s">
        <v>932</v>
      </c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</row>
    <row r="516" spans="1:80" ht="16.149999999999999" customHeight="1" x14ac:dyDescent="0.25">
      <c r="A516" s="16"/>
      <c r="B516" s="16"/>
      <c r="C516" s="16"/>
      <c r="D516" s="16"/>
      <c r="E516" s="16"/>
      <c r="F516" s="16"/>
      <c r="G516" s="17"/>
      <c r="H516" s="17"/>
      <c r="I516" s="17"/>
      <c r="J516" s="17"/>
      <c r="K516" s="17"/>
      <c r="L516" s="18" t="s">
        <v>933</v>
      </c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</row>
    <row r="517" spans="1:80" ht="16.149999999999999" customHeight="1" x14ac:dyDescent="0.25">
      <c r="A517" s="16"/>
      <c r="B517" s="16"/>
      <c r="C517" s="16"/>
      <c r="D517" s="16"/>
      <c r="E517" s="16"/>
      <c r="F517" s="16"/>
      <c r="G517" s="17"/>
      <c r="H517" s="17"/>
      <c r="I517" s="17"/>
      <c r="J517" s="17"/>
      <c r="K517" s="17"/>
      <c r="L517" s="18" t="s">
        <v>934</v>
      </c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</row>
    <row r="518" spans="1:80" ht="16.149999999999999" customHeight="1" x14ac:dyDescent="0.25">
      <c r="A518" s="16"/>
      <c r="B518" s="16"/>
      <c r="C518" s="16"/>
      <c r="D518" s="16"/>
      <c r="E518" s="16"/>
      <c r="F518" s="16"/>
      <c r="G518" s="17"/>
      <c r="H518" s="17"/>
      <c r="I518" s="17"/>
      <c r="J518" s="17"/>
      <c r="K518" s="17"/>
      <c r="L518" s="18" t="s">
        <v>935</v>
      </c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</row>
    <row r="519" spans="1:80" ht="16.149999999999999" customHeight="1" x14ac:dyDescent="0.25">
      <c r="A519" s="16"/>
      <c r="B519" s="16"/>
      <c r="C519" s="16"/>
      <c r="D519" s="16"/>
      <c r="E519" s="16"/>
      <c r="F519" s="16"/>
      <c r="G519" s="17"/>
      <c r="H519" s="17"/>
      <c r="I519" s="17"/>
      <c r="J519" s="17"/>
      <c r="K519" s="17"/>
      <c r="L519" s="18" t="s">
        <v>936</v>
      </c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</row>
    <row r="520" spans="1:80" ht="16.149999999999999" customHeight="1" x14ac:dyDescent="0.25">
      <c r="A520" s="16"/>
      <c r="B520" s="16"/>
      <c r="C520" s="16"/>
      <c r="D520" s="16"/>
      <c r="E520" s="16"/>
      <c r="F520" s="16"/>
      <c r="G520" s="17"/>
      <c r="H520" s="17"/>
      <c r="I520" s="17"/>
      <c r="J520" s="17"/>
      <c r="K520" s="17"/>
      <c r="L520" s="18" t="s">
        <v>937</v>
      </c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</row>
    <row r="521" spans="1:80" ht="16.149999999999999" customHeight="1" x14ac:dyDescent="0.25">
      <c r="A521" s="16"/>
      <c r="B521" s="16"/>
      <c r="C521" s="16"/>
      <c r="D521" s="16"/>
      <c r="E521" s="16"/>
      <c r="F521" s="16"/>
      <c r="G521" s="17"/>
      <c r="H521" s="17"/>
      <c r="I521" s="17"/>
      <c r="J521" s="17"/>
      <c r="K521" s="17"/>
      <c r="L521" s="18" t="s">
        <v>938</v>
      </c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</row>
    <row r="522" spans="1:80" ht="16.149999999999999" customHeight="1" x14ac:dyDescent="0.25">
      <c r="A522" s="16"/>
      <c r="B522" s="16"/>
      <c r="C522" s="16"/>
      <c r="D522" s="16"/>
      <c r="E522" s="16"/>
      <c r="F522" s="16"/>
      <c r="G522" s="17"/>
      <c r="H522" s="17"/>
      <c r="I522" s="17"/>
      <c r="J522" s="17"/>
      <c r="K522" s="17"/>
      <c r="L522" s="18" t="s">
        <v>939</v>
      </c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</row>
    <row r="523" spans="1:80" ht="16.149999999999999" customHeight="1" x14ac:dyDescent="0.25">
      <c r="A523" s="16"/>
      <c r="B523" s="16"/>
      <c r="C523" s="16"/>
      <c r="D523" s="16"/>
      <c r="E523" s="16"/>
      <c r="F523" s="16"/>
      <c r="G523" s="17"/>
      <c r="H523" s="17"/>
      <c r="I523" s="17"/>
      <c r="J523" s="17"/>
      <c r="K523" s="17"/>
      <c r="L523" s="18" t="s">
        <v>940</v>
      </c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</row>
    <row r="524" spans="1:80" ht="16.149999999999999" customHeight="1" x14ac:dyDescent="0.25">
      <c r="A524" s="16"/>
      <c r="B524" s="16"/>
      <c r="C524" s="16"/>
      <c r="D524" s="16"/>
      <c r="E524" s="16"/>
      <c r="F524" s="16"/>
      <c r="G524" s="17"/>
      <c r="H524" s="17"/>
      <c r="I524" s="17"/>
      <c r="J524" s="17"/>
      <c r="K524" s="17"/>
      <c r="L524" s="18" t="s">
        <v>941</v>
      </c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</row>
    <row r="525" spans="1:80" ht="16.149999999999999" customHeight="1" x14ac:dyDescent="0.25">
      <c r="A525" s="16"/>
      <c r="B525" s="16"/>
      <c r="C525" s="16"/>
      <c r="D525" s="16"/>
      <c r="E525" s="16"/>
      <c r="F525" s="16"/>
      <c r="G525" s="17"/>
      <c r="H525" s="17"/>
      <c r="I525" s="17"/>
      <c r="J525" s="17"/>
      <c r="K525" s="17"/>
      <c r="L525" s="18" t="s">
        <v>942</v>
      </c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</row>
    <row r="526" spans="1:80" ht="16.149999999999999" customHeight="1" x14ac:dyDescent="0.25">
      <c r="A526" s="16"/>
      <c r="B526" s="16"/>
      <c r="C526" s="16"/>
      <c r="D526" s="16"/>
      <c r="E526" s="16"/>
      <c r="F526" s="16"/>
      <c r="G526" s="17"/>
      <c r="H526" s="17"/>
      <c r="I526" s="17"/>
      <c r="J526" s="17"/>
      <c r="K526" s="17"/>
      <c r="L526" s="18" t="s">
        <v>943</v>
      </c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</row>
    <row r="527" spans="1:80" ht="16.149999999999999" customHeight="1" x14ac:dyDescent="0.25">
      <c r="A527" s="16"/>
      <c r="B527" s="16"/>
      <c r="C527" s="16"/>
      <c r="D527" s="16"/>
      <c r="E527" s="16"/>
      <c r="F527" s="16"/>
      <c r="G527" s="17"/>
      <c r="H527" s="17"/>
      <c r="I527" s="17"/>
      <c r="J527" s="17"/>
      <c r="K527" s="17"/>
      <c r="L527" s="18" t="s">
        <v>944</v>
      </c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</row>
    <row r="528" spans="1:80" ht="16.149999999999999" customHeight="1" x14ac:dyDescent="0.25">
      <c r="A528" s="16"/>
      <c r="B528" s="16"/>
      <c r="C528" s="16"/>
      <c r="D528" s="16"/>
      <c r="E528" s="16"/>
      <c r="F528" s="16"/>
      <c r="G528" s="17"/>
      <c r="H528" s="17"/>
      <c r="I528" s="17"/>
      <c r="J528" s="17"/>
      <c r="K528" s="17"/>
      <c r="L528" s="18" t="s">
        <v>945</v>
      </c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</row>
    <row r="529" spans="1:80" ht="16.149999999999999" customHeight="1" x14ac:dyDescent="0.25">
      <c r="A529" s="16"/>
      <c r="B529" s="16"/>
      <c r="C529" s="16"/>
      <c r="D529" s="16"/>
      <c r="E529" s="16"/>
      <c r="F529" s="16"/>
      <c r="G529" s="17"/>
      <c r="H529" s="17"/>
      <c r="I529" s="17"/>
      <c r="J529" s="17"/>
      <c r="K529" s="17"/>
      <c r="L529" s="18" t="s">
        <v>946</v>
      </c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</row>
    <row r="530" spans="1:80" ht="16.149999999999999" customHeight="1" x14ac:dyDescent="0.25">
      <c r="A530" s="16"/>
      <c r="B530" s="16"/>
      <c r="C530" s="16"/>
      <c r="D530" s="16"/>
      <c r="E530" s="16"/>
      <c r="F530" s="16"/>
      <c r="G530" s="17"/>
      <c r="H530" s="17"/>
      <c r="I530" s="17"/>
      <c r="J530" s="17"/>
      <c r="K530" s="17"/>
      <c r="L530" s="18" t="s">
        <v>947</v>
      </c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</row>
    <row r="531" spans="1:80" ht="16.149999999999999" customHeight="1" x14ac:dyDescent="0.25">
      <c r="A531" s="16"/>
      <c r="B531" s="16"/>
      <c r="C531" s="16"/>
      <c r="D531" s="16"/>
      <c r="E531" s="16"/>
      <c r="F531" s="16"/>
      <c r="G531" s="17"/>
      <c r="H531" s="17"/>
      <c r="I531" s="17"/>
      <c r="J531" s="17"/>
      <c r="K531" s="17"/>
      <c r="L531" s="18" t="s">
        <v>948</v>
      </c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</row>
    <row r="532" spans="1:80" ht="16.149999999999999" customHeight="1" x14ac:dyDescent="0.25">
      <c r="A532" s="16"/>
      <c r="B532" s="16"/>
      <c r="C532" s="16"/>
      <c r="D532" s="16"/>
      <c r="E532" s="16"/>
      <c r="F532" s="16"/>
      <c r="G532" s="17"/>
      <c r="H532" s="17"/>
      <c r="I532" s="17"/>
      <c r="J532" s="17"/>
      <c r="K532" s="17"/>
      <c r="L532" s="18" t="s">
        <v>949</v>
      </c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</row>
    <row r="533" spans="1:80" ht="16.149999999999999" customHeight="1" x14ac:dyDescent="0.25">
      <c r="A533" s="16"/>
      <c r="B533" s="16"/>
      <c r="C533" s="16"/>
      <c r="D533" s="16"/>
      <c r="E533" s="16"/>
      <c r="F533" s="16"/>
      <c r="G533" s="17"/>
      <c r="H533" s="17"/>
      <c r="I533" s="17"/>
      <c r="J533" s="17"/>
      <c r="K533" s="17"/>
      <c r="L533" s="18" t="s">
        <v>950</v>
      </c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</row>
    <row r="534" spans="1:80" ht="16.149999999999999" customHeight="1" x14ac:dyDescent="0.25">
      <c r="A534" s="16"/>
      <c r="B534" s="16"/>
      <c r="C534" s="16"/>
      <c r="D534" s="16"/>
      <c r="E534" s="16"/>
      <c r="F534" s="16"/>
      <c r="G534" s="17"/>
      <c r="H534" s="17"/>
      <c r="I534" s="17"/>
      <c r="J534" s="17"/>
      <c r="K534" s="17"/>
      <c r="L534" s="18" t="s">
        <v>951</v>
      </c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</row>
    <row r="535" spans="1:80" ht="16.149999999999999" customHeight="1" x14ac:dyDescent="0.25">
      <c r="A535" s="16"/>
      <c r="B535" s="16"/>
      <c r="C535" s="16"/>
      <c r="D535" s="16"/>
      <c r="E535" s="16"/>
      <c r="F535" s="16"/>
      <c r="G535" s="17"/>
      <c r="H535" s="17"/>
      <c r="I535" s="17"/>
      <c r="J535" s="17"/>
      <c r="K535" s="17"/>
      <c r="L535" s="18" t="s">
        <v>952</v>
      </c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</row>
    <row r="536" spans="1:80" ht="16.149999999999999" customHeight="1" x14ac:dyDescent="0.25">
      <c r="A536" s="16"/>
      <c r="B536" s="16"/>
      <c r="C536" s="16"/>
      <c r="D536" s="16"/>
      <c r="E536" s="16"/>
      <c r="F536" s="16"/>
      <c r="G536" s="17"/>
      <c r="H536" s="17"/>
      <c r="I536" s="17"/>
      <c r="J536" s="17"/>
      <c r="K536" s="17"/>
      <c r="L536" s="18" t="s">
        <v>953</v>
      </c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</row>
    <row r="537" spans="1:80" ht="16.149999999999999" customHeight="1" x14ac:dyDescent="0.25">
      <c r="A537" s="16"/>
      <c r="B537" s="16"/>
      <c r="C537" s="16"/>
      <c r="D537" s="16"/>
      <c r="E537" s="16"/>
      <c r="F537" s="16"/>
      <c r="G537" s="17"/>
      <c r="H537" s="17"/>
      <c r="I537" s="17"/>
      <c r="J537" s="17"/>
      <c r="K537" s="17"/>
      <c r="L537" s="18" t="s">
        <v>954</v>
      </c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</row>
    <row r="538" spans="1:80" ht="16.149999999999999" customHeight="1" x14ac:dyDescent="0.25">
      <c r="A538" s="16"/>
      <c r="B538" s="16"/>
      <c r="C538" s="16"/>
      <c r="D538" s="16"/>
      <c r="E538" s="16"/>
      <c r="F538" s="16"/>
      <c r="G538" s="17"/>
      <c r="H538" s="17"/>
      <c r="I538" s="17"/>
      <c r="J538" s="17"/>
      <c r="K538" s="17"/>
      <c r="L538" s="18" t="s">
        <v>955</v>
      </c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</row>
    <row r="539" spans="1:80" ht="16.149999999999999" customHeight="1" x14ac:dyDescent="0.25">
      <c r="A539" s="16"/>
      <c r="B539" s="16"/>
      <c r="C539" s="16"/>
      <c r="D539" s="16"/>
      <c r="E539" s="16"/>
      <c r="F539" s="16"/>
      <c r="G539" s="17"/>
      <c r="H539" s="17"/>
      <c r="I539" s="17"/>
      <c r="J539" s="17"/>
      <c r="K539" s="17"/>
      <c r="L539" s="18" t="s">
        <v>956</v>
      </c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</row>
    <row r="540" spans="1:80" ht="16.149999999999999" customHeight="1" x14ac:dyDescent="0.25">
      <c r="A540" s="16"/>
      <c r="B540" s="16"/>
      <c r="C540" s="16"/>
      <c r="D540" s="16"/>
      <c r="E540" s="16"/>
      <c r="F540" s="16"/>
      <c r="G540" s="17"/>
      <c r="H540" s="17"/>
      <c r="I540" s="17"/>
      <c r="J540" s="17"/>
      <c r="K540" s="17"/>
      <c r="L540" s="18" t="s">
        <v>957</v>
      </c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</row>
    <row r="541" spans="1:80" ht="16.149999999999999" customHeight="1" x14ac:dyDescent="0.25">
      <c r="A541" s="16"/>
      <c r="B541" s="16"/>
      <c r="C541" s="16"/>
      <c r="D541" s="16"/>
      <c r="E541" s="16"/>
      <c r="F541" s="16"/>
      <c r="G541" s="17"/>
      <c r="H541" s="17"/>
      <c r="I541" s="17"/>
      <c r="J541" s="17"/>
      <c r="K541" s="17"/>
      <c r="L541" s="18" t="s">
        <v>958</v>
      </c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</row>
    <row r="542" spans="1:80" ht="16.149999999999999" customHeight="1" x14ac:dyDescent="0.25">
      <c r="A542" s="16"/>
      <c r="B542" s="16"/>
      <c r="C542" s="16"/>
      <c r="D542" s="16"/>
      <c r="E542" s="16"/>
      <c r="F542" s="16"/>
      <c r="G542" s="17"/>
      <c r="H542" s="17"/>
      <c r="I542" s="17"/>
      <c r="J542" s="17"/>
      <c r="K542" s="17"/>
      <c r="L542" s="18" t="s">
        <v>959</v>
      </c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</row>
    <row r="543" spans="1:80" ht="16.149999999999999" customHeight="1" x14ac:dyDescent="0.25">
      <c r="A543" s="16"/>
      <c r="B543" s="16"/>
      <c r="C543" s="16"/>
      <c r="D543" s="16"/>
      <c r="E543" s="16"/>
      <c r="F543" s="16"/>
      <c r="G543" s="17"/>
      <c r="H543" s="17"/>
      <c r="I543" s="17"/>
      <c r="J543" s="17"/>
      <c r="K543" s="17"/>
      <c r="L543" s="18" t="s">
        <v>960</v>
      </c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</row>
    <row r="544" spans="1:80" ht="16.149999999999999" customHeight="1" x14ac:dyDescent="0.25">
      <c r="A544" s="16"/>
      <c r="B544" s="16"/>
      <c r="C544" s="16"/>
      <c r="D544" s="16"/>
      <c r="E544" s="16"/>
      <c r="F544" s="16"/>
      <c r="G544" s="17"/>
      <c r="H544" s="17"/>
      <c r="I544" s="17"/>
      <c r="J544" s="17"/>
      <c r="K544" s="17"/>
      <c r="L544" s="18" t="s">
        <v>961</v>
      </c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</row>
    <row r="545" spans="1:80" ht="16.149999999999999" customHeight="1" x14ac:dyDescent="0.25">
      <c r="A545" s="16"/>
      <c r="B545" s="16"/>
      <c r="C545" s="16"/>
      <c r="D545" s="16"/>
      <c r="E545" s="16"/>
      <c r="F545" s="16"/>
      <c r="G545" s="17"/>
      <c r="H545" s="17"/>
      <c r="I545" s="17"/>
      <c r="J545" s="17"/>
      <c r="K545" s="17"/>
      <c r="L545" s="18" t="s">
        <v>962</v>
      </c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</row>
    <row r="546" spans="1:80" ht="16.149999999999999" customHeight="1" x14ac:dyDescent="0.25">
      <c r="A546" s="16"/>
      <c r="B546" s="16"/>
      <c r="C546" s="16"/>
      <c r="D546" s="16"/>
      <c r="E546" s="16"/>
      <c r="F546" s="16"/>
      <c r="G546" s="17"/>
      <c r="H546" s="17"/>
      <c r="I546" s="17"/>
      <c r="J546" s="17"/>
      <c r="K546" s="17"/>
      <c r="L546" s="18" t="s">
        <v>963</v>
      </c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</row>
    <row r="547" spans="1:80" ht="16.149999999999999" customHeight="1" x14ac:dyDescent="0.25">
      <c r="A547" s="16"/>
      <c r="B547" s="16"/>
      <c r="C547" s="16"/>
      <c r="D547" s="16"/>
      <c r="E547" s="16"/>
      <c r="F547" s="16"/>
      <c r="G547" s="17"/>
      <c r="H547" s="17"/>
      <c r="I547" s="17"/>
      <c r="J547" s="17"/>
      <c r="K547" s="17"/>
      <c r="L547" s="18" t="s">
        <v>964</v>
      </c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</row>
    <row r="548" spans="1:80" ht="16.149999999999999" customHeight="1" x14ac:dyDescent="0.25">
      <c r="A548" s="16"/>
      <c r="B548" s="16"/>
      <c r="C548" s="16"/>
      <c r="D548" s="16"/>
      <c r="E548" s="16"/>
      <c r="F548" s="16"/>
      <c r="G548" s="17"/>
      <c r="H548" s="17"/>
      <c r="I548" s="17"/>
      <c r="J548" s="17"/>
      <c r="K548" s="17"/>
      <c r="L548" s="18" t="s">
        <v>965</v>
      </c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</row>
    <row r="549" spans="1:80" ht="16.149999999999999" customHeight="1" x14ac:dyDescent="0.25">
      <c r="A549" s="16"/>
      <c r="B549" s="16"/>
      <c r="C549" s="16"/>
      <c r="D549" s="16"/>
      <c r="E549" s="16"/>
      <c r="F549" s="16"/>
      <c r="G549" s="17"/>
      <c r="H549" s="17"/>
      <c r="I549" s="17"/>
      <c r="J549" s="17"/>
      <c r="K549" s="17"/>
      <c r="L549" s="18" t="s">
        <v>966</v>
      </c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</row>
    <row r="550" spans="1:80" ht="16.149999999999999" customHeight="1" x14ac:dyDescent="0.25">
      <c r="A550" s="16"/>
      <c r="B550" s="16"/>
      <c r="C550" s="16"/>
      <c r="D550" s="16"/>
      <c r="E550" s="16"/>
      <c r="F550" s="16"/>
      <c r="G550" s="17"/>
      <c r="H550" s="17"/>
      <c r="I550" s="17"/>
      <c r="J550" s="17"/>
      <c r="K550" s="17"/>
      <c r="L550" s="18" t="s">
        <v>967</v>
      </c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</row>
    <row r="551" spans="1:80" ht="16.149999999999999" customHeight="1" x14ac:dyDescent="0.25">
      <c r="A551" s="16"/>
      <c r="B551" s="16"/>
      <c r="C551" s="16"/>
      <c r="D551" s="16"/>
      <c r="E551" s="16"/>
      <c r="F551" s="16"/>
      <c r="G551" s="17"/>
      <c r="H551" s="17"/>
      <c r="I551" s="17"/>
      <c r="J551" s="17"/>
      <c r="K551" s="17"/>
      <c r="L551" s="18" t="s">
        <v>968</v>
      </c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</row>
    <row r="552" spans="1:80" ht="16.149999999999999" customHeight="1" x14ac:dyDescent="0.25">
      <c r="A552" s="16"/>
      <c r="B552" s="16"/>
      <c r="C552" s="16"/>
      <c r="D552" s="16"/>
      <c r="E552" s="16"/>
      <c r="F552" s="16"/>
      <c r="G552" s="17"/>
      <c r="H552" s="17"/>
      <c r="I552" s="17"/>
      <c r="J552" s="17"/>
      <c r="K552" s="17"/>
      <c r="L552" s="18" t="s">
        <v>969</v>
      </c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</row>
    <row r="553" spans="1:80" ht="16.149999999999999" customHeight="1" x14ac:dyDescent="0.25">
      <c r="A553" s="16"/>
      <c r="B553" s="16"/>
      <c r="C553" s="16"/>
      <c r="D553" s="16"/>
      <c r="E553" s="16"/>
      <c r="F553" s="16"/>
      <c r="G553" s="17"/>
      <c r="H553" s="17"/>
      <c r="I553" s="17"/>
      <c r="J553" s="17"/>
      <c r="K553" s="17"/>
      <c r="L553" s="18" t="s">
        <v>970</v>
      </c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</row>
    <row r="554" spans="1:80" ht="16.149999999999999" customHeight="1" x14ac:dyDescent="0.25">
      <c r="A554" s="16"/>
      <c r="B554" s="16"/>
      <c r="C554" s="16"/>
      <c r="D554" s="16"/>
      <c r="E554" s="16"/>
      <c r="F554" s="16"/>
      <c r="G554" s="17"/>
      <c r="H554" s="17"/>
      <c r="I554" s="17"/>
      <c r="J554" s="17"/>
      <c r="K554" s="17"/>
      <c r="L554" s="18" t="s">
        <v>971</v>
      </c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</row>
    <row r="555" spans="1:80" ht="16.149999999999999" customHeight="1" x14ac:dyDescent="0.25">
      <c r="A555" s="16"/>
      <c r="B555" s="16"/>
      <c r="C555" s="16"/>
      <c r="D555" s="16"/>
      <c r="E555" s="16"/>
      <c r="F555" s="16"/>
      <c r="G555" s="17"/>
      <c r="H555" s="17"/>
      <c r="I555" s="17"/>
      <c r="J555" s="17"/>
      <c r="K555" s="17"/>
      <c r="L555" s="18" t="s">
        <v>972</v>
      </c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</row>
    <row r="556" spans="1:80" ht="16.149999999999999" customHeight="1" x14ac:dyDescent="0.25">
      <c r="A556" s="16"/>
      <c r="B556" s="16"/>
      <c r="C556" s="16"/>
      <c r="D556" s="16"/>
      <c r="E556" s="16"/>
      <c r="F556" s="16"/>
      <c r="G556" s="17"/>
      <c r="H556" s="17"/>
      <c r="I556" s="17"/>
      <c r="J556" s="17"/>
      <c r="K556" s="17"/>
      <c r="L556" s="18" t="s">
        <v>973</v>
      </c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</row>
    <row r="557" spans="1:80" ht="16.149999999999999" customHeight="1" x14ac:dyDescent="0.25">
      <c r="A557" s="16"/>
      <c r="B557" s="16"/>
      <c r="C557" s="16"/>
      <c r="D557" s="16"/>
      <c r="E557" s="16"/>
      <c r="F557" s="16"/>
      <c r="G557" s="17"/>
      <c r="H557" s="17"/>
      <c r="I557" s="17"/>
      <c r="J557" s="17"/>
      <c r="K557" s="17"/>
      <c r="L557" s="18" t="s">
        <v>974</v>
      </c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</row>
    <row r="558" spans="1:80" ht="16.149999999999999" customHeight="1" x14ac:dyDescent="0.25">
      <c r="A558" s="16"/>
      <c r="B558" s="16"/>
      <c r="C558" s="16"/>
      <c r="D558" s="16"/>
      <c r="E558" s="16"/>
      <c r="F558" s="16"/>
      <c r="G558" s="17"/>
      <c r="H558" s="17"/>
      <c r="I558" s="17"/>
      <c r="J558" s="17"/>
      <c r="K558" s="17"/>
      <c r="L558" s="18" t="s">
        <v>975</v>
      </c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</row>
    <row r="559" spans="1:80" ht="16.149999999999999" customHeight="1" x14ac:dyDescent="0.25">
      <c r="A559" s="16"/>
      <c r="B559" s="16"/>
      <c r="C559" s="16"/>
      <c r="D559" s="16"/>
      <c r="E559" s="16"/>
      <c r="F559" s="16"/>
      <c r="G559" s="17"/>
      <c r="H559" s="17"/>
      <c r="I559" s="17"/>
      <c r="J559" s="17"/>
      <c r="K559" s="17"/>
      <c r="L559" s="18" t="s">
        <v>976</v>
      </c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</row>
    <row r="560" spans="1:80" ht="16.149999999999999" customHeight="1" x14ac:dyDescent="0.25">
      <c r="A560" s="16"/>
      <c r="B560" s="16"/>
      <c r="C560" s="16"/>
      <c r="D560" s="16"/>
      <c r="E560" s="16"/>
      <c r="F560" s="16"/>
      <c r="G560" s="17"/>
      <c r="H560" s="17"/>
      <c r="I560" s="17"/>
      <c r="J560" s="17"/>
      <c r="K560" s="17"/>
      <c r="L560" s="18" t="s">
        <v>977</v>
      </c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</row>
    <row r="561" spans="1:80" ht="16.149999999999999" customHeight="1" x14ac:dyDescent="0.25">
      <c r="A561" s="16"/>
      <c r="B561" s="16"/>
      <c r="C561" s="16"/>
      <c r="D561" s="16"/>
      <c r="E561" s="16"/>
      <c r="F561" s="16"/>
      <c r="G561" s="17"/>
      <c r="H561" s="17"/>
      <c r="I561" s="17"/>
      <c r="J561" s="17"/>
      <c r="K561" s="17"/>
      <c r="L561" s="18" t="s">
        <v>978</v>
      </c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</row>
    <row r="562" spans="1:80" ht="16.149999999999999" customHeight="1" x14ac:dyDescent="0.25">
      <c r="A562" s="16"/>
      <c r="B562" s="16"/>
      <c r="C562" s="16"/>
      <c r="D562" s="16"/>
      <c r="E562" s="16"/>
      <c r="F562" s="16"/>
      <c r="G562" s="17"/>
      <c r="H562" s="17"/>
      <c r="I562" s="17"/>
      <c r="J562" s="17"/>
      <c r="K562" s="17"/>
      <c r="L562" s="18" t="s">
        <v>979</v>
      </c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</row>
    <row r="563" spans="1:80" ht="16.149999999999999" customHeight="1" x14ac:dyDescent="0.25">
      <c r="A563" s="16"/>
      <c r="B563" s="16"/>
      <c r="C563" s="16"/>
      <c r="D563" s="16"/>
      <c r="E563" s="16"/>
      <c r="F563" s="16"/>
      <c r="G563" s="17"/>
      <c r="H563" s="17"/>
      <c r="I563" s="17"/>
      <c r="J563" s="17"/>
      <c r="K563" s="17"/>
      <c r="L563" s="18" t="s">
        <v>980</v>
      </c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</row>
    <row r="564" spans="1:80" ht="16.149999999999999" customHeight="1" x14ac:dyDescent="0.25">
      <c r="A564" s="16"/>
      <c r="B564" s="16"/>
      <c r="C564" s="16"/>
      <c r="D564" s="16"/>
      <c r="E564" s="16"/>
      <c r="F564" s="16"/>
      <c r="G564" s="17"/>
      <c r="H564" s="17"/>
      <c r="I564" s="17"/>
      <c r="J564" s="17"/>
      <c r="K564" s="17"/>
      <c r="L564" s="18" t="s">
        <v>981</v>
      </c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</row>
    <row r="565" spans="1:80" ht="16.149999999999999" customHeight="1" x14ac:dyDescent="0.25">
      <c r="A565" s="16"/>
      <c r="B565" s="16"/>
      <c r="C565" s="16"/>
      <c r="D565" s="16"/>
      <c r="E565" s="16"/>
      <c r="F565" s="16"/>
      <c r="G565" s="17"/>
      <c r="H565" s="17"/>
      <c r="I565" s="17"/>
      <c r="J565" s="17"/>
      <c r="K565" s="17"/>
      <c r="L565" s="18" t="s">
        <v>982</v>
      </c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</row>
    <row r="566" spans="1:80" ht="16.149999999999999" customHeight="1" x14ac:dyDescent="0.25">
      <c r="A566" s="16"/>
      <c r="B566" s="16"/>
      <c r="C566" s="16"/>
      <c r="D566" s="16"/>
      <c r="E566" s="16"/>
      <c r="F566" s="16"/>
      <c r="G566" s="17"/>
      <c r="H566" s="17"/>
      <c r="I566" s="17"/>
      <c r="J566" s="17"/>
      <c r="K566" s="17"/>
      <c r="L566" s="18" t="s">
        <v>983</v>
      </c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</row>
    <row r="567" spans="1:80" ht="16.149999999999999" customHeight="1" x14ac:dyDescent="0.25">
      <c r="A567" s="16"/>
      <c r="B567" s="16"/>
      <c r="C567" s="16"/>
      <c r="D567" s="16"/>
      <c r="E567" s="16"/>
      <c r="F567" s="16"/>
      <c r="G567" s="17"/>
      <c r="H567" s="17"/>
      <c r="I567" s="17"/>
      <c r="J567" s="17"/>
      <c r="K567" s="17"/>
      <c r="L567" s="18" t="s">
        <v>984</v>
      </c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</row>
    <row r="568" spans="1:80" ht="16.149999999999999" customHeight="1" x14ac:dyDescent="0.25">
      <c r="A568" s="16"/>
      <c r="B568" s="16"/>
      <c r="C568" s="16"/>
      <c r="D568" s="16"/>
      <c r="E568" s="16"/>
      <c r="F568" s="16"/>
      <c r="G568" s="17"/>
      <c r="H568" s="17"/>
      <c r="I568" s="17"/>
      <c r="J568" s="17"/>
      <c r="K568" s="17"/>
      <c r="L568" s="18" t="s">
        <v>985</v>
      </c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</row>
    <row r="569" spans="1:80" ht="16.149999999999999" customHeight="1" x14ac:dyDescent="0.25">
      <c r="A569" s="16"/>
      <c r="B569" s="16"/>
      <c r="C569" s="16"/>
      <c r="D569" s="16"/>
      <c r="E569" s="16"/>
      <c r="F569" s="16"/>
      <c r="G569" s="17"/>
      <c r="H569" s="17"/>
      <c r="I569" s="17"/>
      <c r="J569" s="17"/>
      <c r="K569" s="17"/>
      <c r="L569" s="18" t="s">
        <v>986</v>
      </c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</row>
    <row r="570" spans="1:80" ht="16.149999999999999" customHeight="1" x14ac:dyDescent="0.25">
      <c r="A570" s="16"/>
      <c r="B570" s="16"/>
      <c r="C570" s="16"/>
      <c r="D570" s="16"/>
      <c r="E570" s="16"/>
      <c r="F570" s="16"/>
      <c r="G570" s="17"/>
      <c r="H570" s="17"/>
      <c r="I570" s="17"/>
      <c r="J570" s="17"/>
      <c r="K570" s="17"/>
      <c r="L570" s="18" t="s">
        <v>987</v>
      </c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</row>
    <row r="571" spans="1:80" ht="16.149999999999999" customHeight="1" x14ac:dyDescent="0.25">
      <c r="A571" s="16"/>
      <c r="B571" s="16"/>
      <c r="C571" s="16"/>
      <c r="D571" s="16"/>
      <c r="E571" s="16"/>
      <c r="F571" s="16"/>
      <c r="G571" s="17"/>
      <c r="H571" s="17"/>
      <c r="I571" s="17"/>
      <c r="J571" s="17"/>
      <c r="K571" s="17"/>
      <c r="L571" s="18" t="s">
        <v>988</v>
      </c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</row>
    <row r="572" spans="1:80" ht="16.149999999999999" customHeight="1" x14ac:dyDescent="0.25">
      <c r="A572" s="16"/>
      <c r="B572" s="16"/>
      <c r="C572" s="16"/>
      <c r="D572" s="16"/>
      <c r="E572" s="16"/>
      <c r="F572" s="16"/>
      <c r="G572" s="17"/>
      <c r="H572" s="17"/>
      <c r="I572" s="17"/>
      <c r="J572" s="17"/>
      <c r="K572" s="17"/>
      <c r="L572" s="18" t="s">
        <v>989</v>
      </c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</row>
    <row r="573" spans="1:80" ht="16.149999999999999" customHeight="1" x14ac:dyDescent="0.25">
      <c r="A573" s="16"/>
      <c r="B573" s="16"/>
      <c r="C573" s="16"/>
      <c r="D573" s="16"/>
      <c r="E573" s="16"/>
      <c r="F573" s="16"/>
      <c r="G573" s="17"/>
      <c r="H573" s="17"/>
      <c r="I573" s="17"/>
      <c r="J573" s="17"/>
      <c r="K573" s="17"/>
      <c r="L573" s="18" t="s">
        <v>990</v>
      </c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</row>
    <row r="574" spans="1:80" ht="16.149999999999999" customHeight="1" x14ac:dyDescent="0.25">
      <c r="A574" s="16"/>
      <c r="B574" s="16"/>
      <c r="C574" s="16"/>
      <c r="D574" s="16"/>
      <c r="E574" s="16"/>
      <c r="F574" s="16"/>
      <c r="G574" s="17"/>
      <c r="H574" s="17"/>
      <c r="I574" s="17"/>
      <c r="J574" s="17"/>
      <c r="K574" s="17"/>
      <c r="L574" s="18" t="s">
        <v>991</v>
      </c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</row>
    <row r="575" spans="1:80" ht="16.149999999999999" customHeight="1" x14ac:dyDescent="0.25">
      <c r="A575" s="16"/>
      <c r="B575" s="16"/>
      <c r="C575" s="16"/>
      <c r="D575" s="16"/>
      <c r="E575" s="16"/>
      <c r="F575" s="16"/>
      <c r="G575" s="17"/>
      <c r="H575" s="17"/>
      <c r="I575" s="17"/>
      <c r="J575" s="17"/>
      <c r="K575" s="17"/>
      <c r="L575" s="18" t="s">
        <v>992</v>
      </c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</row>
    <row r="576" spans="1:80" ht="16.149999999999999" customHeight="1" x14ac:dyDescent="0.25">
      <c r="A576" s="16"/>
      <c r="B576" s="16"/>
      <c r="C576" s="16"/>
      <c r="D576" s="16"/>
      <c r="E576" s="16"/>
      <c r="F576" s="16"/>
      <c r="G576" s="17"/>
      <c r="H576" s="17"/>
      <c r="I576" s="17"/>
      <c r="J576" s="17"/>
      <c r="K576" s="17"/>
      <c r="L576" s="18" t="s">
        <v>993</v>
      </c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</row>
    <row r="577" spans="1:80" ht="16.149999999999999" customHeight="1" x14ac:dyDescent="0.25">
      <c r="A577" s="16"/>
      <c r="B577" s="16"/>
      <c r="C577" s="16"/>
      <c r="D577" s="16"/>
      <c r="E577" s="16"/>
      <c r="F577" s="16"/>
      <c r="G577" s="17"/>
      <c r="H577" s="17"/>
      <c r="I577" s="17"/>
      <c r="J577" s="17"/>
      <c r="K577" s="17"/>
      <c r="L577" s="18" t="s">
        <v>994</v>
      </c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</row>
    <row r="578" spans="1:80" ht="16.149999999999999" customHeight="1" x14ac:dyDescent="0.25">
      <c r="A578" s="16"/>
      <c r="B578" s="16"/>
      <c r="C578" s="16"/>
      <c r="D578" s="16"/>
      <c r="E578" s="16"/>
      <c r="F578" s="16"/>
      <c r="G578" s="17"/>
      <c r="H578" s="17"/>
      <c r="I578" s="17"/>
      <c r="J578" s="17"/>
      <c r="K578" s="17"/>
      <c r="L578" s="18" t="s">
        <v>995</v>
      </c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</row>
    <row r="579" spans="1:80" ht="16.149999999999999" customHeight="1" x14ac:dyDescent="0.25">
      <c r="A579" s="16"/>
      <c r="B579" s="16"/>
      <c r="C579" s="16"/>
      <c r="D579" s="16"/>
      <c r="E579" s="16"/>
      <c r="F579" s="16"/>
      <c r="G579" s="17"/>
      <c r="H579" s="17"/>
      <c r="I579" s="17"/>
      <c r="J579" s="17"/>
      <c r="K579" s="17"/>
      <c r="L579" s="18" t="s">
        <v>996</v>
      </c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</row>
    <row r="580" spans="1:80" ht="16.149999999999999" customHeight="1" x14ac:dyDescent="0.25">
      <c r="A580" s="16"/>
      <c r="B580" s="16"/>
      <c r="C580" s="16"/>
      <c r="D580" s="16"/>
      <c r="E580" s="16"/>
      <c r="F580" s="16"/>
      <c r="G580" s="17"/>
      <c r="H580" s="17"/>
      <c r="I580" s="17"/>
      <c r="J580" s="17"/>
      <c r="K580" s="17"/>
      <c r="L580" s="18" t="s">
        <v>997</v>
      </c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</row>
    <row r="581" spans="1:80" ht="16.149999999999999" customHeight="1" x14ac:dyDescent="0.25">
      <c r="A581" s="16"/>
      <c r="B581" s="16"/>
      <c r="C581" s="16"/>
      <c r="D581" s="16"/>
      <c r="E581" s="16"/>
      <c r="F581" s="16"/>
      <c r="G581" s="17"/>
      <c r="H581" s="17"/>
      <c r="I581" s="17"/>
      <c r="J581" s="17"/>
      <c r="K581" s="17"/>
      <c r="L581" s="18" t="s">
        <v>998</v>
      </c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</row>
    <row r="582" spans="1:80" ht="16.149999999999999" customHeight="1" x14ac:dyDescent="0.25">
      <c r="A582" s="16"/>
      <c r="B582" s="16"/>
      <c r="C582" s="16"/>
      <c r="D582" s="16"/>
      <c r="E582" s="16"/>
      <c r="F582" s="16"/>
      <c r="G582" s="17"/>
      <c r="H582" s="17"/>
      <c r="I582" s="17"/>
      <c r="J582" s="17"/>
      <c r="K582" s="17"/>
      <c r="L582" s="18" t="s">
        <v>999</v>
      </c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</row>
    <row r="583" spans="1:80" ht="16.149999999999999" customHeight="1" x14ac:dyDescent="0.25">
      <c r="A583" s="16"/>
      <c r="B583" s="16"/>
      <c r="C583" s="16"/>
      <c r="D583" s="16"/>
      <c r="E583" s="16"/>
      <c r="F583" s="16"/>
      <c r="G583" s="17"/>
      <c r="H583" s="17"/>
      <c r="I583" s="17"/>
      <c r="J583" s="17"/>
      <c r="K583" s="17"/>
      <c r="L583" s="18" t="s">
        <v>1000</v>
      </c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</row>
    <row r="584" spans="1:80" ht="16.149999999999999" customHeight="1" x14ac:dyDescent="0.25">
      <c r="A584" s="16"/>
      <c r="B584" s="16"/>
      <c r="C584" s="16"/>
      <c r="D584" s="16"/>
      <c r="E584" s="16"/>
      <c r="F584" s="16"/>
      <c r="G584" s="17"/>
      <c r="H584" s="17"/>
      <c r="I584" s="17"/>
      <c r="J584" s="17"/>
      <c r="K584" s="17"/>
      <c r="L584" s="18" t="s">
        <v>1001</v>
      </c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</row>
    <row r="585" spans="1:80" ht="16.149999999999999" customHeight="1" x14ac:dyDescent="0.25">
      <c r="A585" s="16"/>
      <c r="B585" s="16"/>
      <c r="C585" s="16"/>
      <c r="D585" s="16"/>
      <c r="E585" s="16"/>
      <c r="F585" s="16"/>
      <c r="G585" s="17"/>
      <c r="H585" s="17"/>
      <c r="I585" s="17"/>
      <c r="J585" s="17"/>
      <c r="K585" s="17"/>
      <c r="L585" s="18" t="s">
        <v>1002</v>
      </c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</row>
    <row r="586" spans="1:80" ht="16.149999999999999" customHeight="1" x14ac:dyDescent="0.25">
      <c r="A586" s="16"/>
      <c r="B586" s="16"/>
      <c r="C586" s="16"/>
      <c r="D586" s="16"/>
      <c r="E586" s="16"/>
      <c r="F586" s="16"/>
      <c r="G586" s="17"/>
      <c r="H586" s="17"/>
      <c r="I586" s="17"/>
      <c r="J586" s="17"/>
      <c r="K586" s="17"/>
      <c r="L586" s="18" t="s">
        <v>1003</v>
      </c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</row>
    <row r="587" spans="1:80" ht="16.149999999999999" customHeight="1" x14ac:dyDescent="0.25">
      <c r="A587" s="16"/>
      <c r="B587" s="16"/>
      <c r="C587" s="16"/>
      <c r="D587" s="16"/>
      <c r="E587" s="16"/>
      <c r="F587" s="16"/>
      <c r="G587" s="17"/>
      <c r="H587" s="17"/>
      <c r="I587" s="17"/>
      <c r="J587" s="17"/>
      <c r="K587" s="17"/>
      <c r="L587" s="18" t="s">
        <v>1004</v>
      </c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</row>
    <row r="588" spans="1:80" ht="16.149999999999999" customHeight="1" x14ac:dyDescent="0.25">
      <c r="A588" s="16"/>
      <c r="B588" s="16"/>
      <c r="C588" s="16"/>
      <c r="D588" s="16"/>
      <c r="E588" s="16"/>
      <c r="F588" s="16"/>
      <c r="G588" s="17"/>
      <c r="H588" s="17"/>
      <c r="I588" s="17"/>
      <c r="J588" s="17"/>
      <c r="K588" s="17"/>
      <c r="L588" s="18" t="s">
        <v>1005</v>
      </c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</row>
    <row r="589" spans="1:80" ht="16.149999999999999" customHeight="1" x14ac:dyDescent="0.25">
      <c r="A589" s="16"/>
      <c r="B589" s="16"/>
      <c r="C589" s="16"/>
      <c r="D589" s="16"/>
      <c r="E589" s="16"/>
      <c r="F589" s="16"/>
      <c r="G589" s="17"/>
      <c r="H589" s="17"/>
      <c r="I589" s="17"/>
      <c r="J589" s="17"/>
      <c r="K589" s="17"/>
      <c r="L589" s="18" t="s">
        <v>1006</v>
      </c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</row>
    <row r="590" spans="1:80" ht="16.149999999999999" customHeight="1" x14ac:dyDescent="0.25">
      <c r="A590" s="16"/>
      <c r="B590" s="16"/>
      <c r="C590" s="16"/>
      <c r="D590" s="16"/>
      <c r="E590" s="16"/>
      <c r="F590" s="16"/>
      <c r="G590" s="17"/>
      <c r="H590" s="17"/>
      <c r="I590" s="17"/>
      <c r="J590" s="17"/>
      <c r="K590" s="17"/>
      <c r="L590" s="18" t="s">
        <v>1007</v>
      </c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</row>
    <row r="591" spans="1:80" ht="16.149999999999999" customHeight="1" x14ac:dyDescent="0.25">
      <c r="A591" s="16"/>
      <c r="B591" s="16"/>
      <c r="C591" s="16"/>
      <c r="D591" s="16"/>
      <c r="E591" s="16"/>
      <c r="F591" s="16"/>
      <c r="G591" s="17"/>
      <c r="H591" s="17"/>
      <c r="I591" s="17"/>
      <c r="J591" s="17"/>
      <c r="K591" s="17"/>
      <c r="L591" s="18" t="s">
        <v>1008</v>
      </c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</row>
    <row r="592" spans="1:80" ht="16.149999999999999" customHeight="1" x14ac:dyDescent="0.25">
      <c r="A592" s="16"/>
      <c r="B592" s="16"/>
      <c r="C592" s="16"/>
      <c r="D592" s="16"/>
      <c r="E592" s="16"/>
      <c r="F592" s="16"/>
      <c r="G592" s="17"/>
      <c r="H592" s="17"/>
      <c r="I592" s="17"/>
      <c r="J592" s="17"/>
      <c r="K592" s="17"/>
      <c r="L592" s="18" t="s">
        <v>1009</v>
      </c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</row>
    <row r="593" spans="1:80" ht="16.149999999999999" customHeight="1" x14ac:dyDescent="0.25">
      <c r="A593" s="16"/>
      <c r="B593" s="16"/>
      <c r="C593" s="16"/>
      <c r="D593" s="16"/>
      <c r="E593" s="16"/>
      <c r="F593" s="16"/>
      <c r="G593" s="17"/>
      <c r="H593" s="17"/>
      <c r="I593" s="17"/>
      <c r="J593" s="17"/>
      <c r="K593" s="17"/>
      <c r="L593" s="18" t="s">
        <v>1010</v>
      </c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</row>
    <row r="594" spans="1:80" ht="16.149999999999999" customHeight="1" x14ac:dyDescent="0.25">
      <c r="A594" s="16"/>
      <c r="B594" s="16"/>
      <c r="C594" s="16"/>
      <c r="D594" s="16"/>
      <c r="E594" s="16"/>
      <c r="F594" s="16"/>
      <c r="G594" s="17"/>
      <c r="H594" s="17"/>
      <c r="I594" s="17"/>
      <c r="J594" s="17"/>
      <c r="K594" s="17"/>
      <c r="L594" s="18" t="s">
        <v>1011</v>
      </c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</row>
    <row r="595" spans="1:80" ht="16.149999999999999" customHeight="1" x14ac:dyDescent="0.25">
      <c r="A595" s="16"/>
      <c r="B595" s="16"/>
      <c r="C595" s="16"/>
      <c r="D595" s="16"/>
      <c r="E595" s="16"/>
      <c r="F595" s="16"/>
      <c r="G595" s="17"/>
      <c r="H595" s="17"/>
      <c r="I595" s="17"/>
      <c r="J595" s="17"/>
      <c r="K595" s="17"/>
      <c r="L595" s="18" t="s">
        <v>1012</v>
      </c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</row>
    <row r="596" spans="1:80" ht="16.149999999999999" customHeight="1" x14ac:dyDescent="0.25">
      <c r="A596" s="16"/>
      <c r="B596" s="16"/>
      <c r="C596" s="16"/>
      <c r="D596" s="16"/>
      <c r="E596" s="16"/>
      <c r="F596" s="16"/>
      <c r="G596" s="17"/>
      <c r="H596" s="17"/>
      <c r="I596" s="17"/>
      <c r="J596" s="17"/>
      <c r="K596" s="17"/>
      <c r="L596" s="18" t="s">
        <v>1013</v>
      </c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</row>
    <row r="597" spans="1:80" ht="16.149999999999999" customHeight="1" x14ac:dyDescent="0.25">
      <c r="A597" s="16"/>
      <c r="B597" s="16"/>
      <c r="C597" s="16"/>
      <c r="D597" s="16"/>
      <c r="E597" s="16"/>
      <c r="F597" s="16"/>
      <c r="G597" s="17"/>
      <c r="H597" s="17"/>
      <c r="I597" s="17"/>
      <c r="J597" s="17"/>
      <c r="K597" s="17"/>
      <c r="L597" s="18" t="s">
        <v>1014</v>
      </c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</row>
    <row r="598" spans="1:80" ht="16.149999999999999" customHeight="1" x14ac:dyDescent="0.25">
      <c r="A598" s="16"/>
      <c r="B598" s="16"/>
      <c r="C598" s="16"/>
      <c r="D598" s="16"/>
      <c r="E598" s="16"/>
      <c r="F598" s="16"/>
      <c r="G598" s="17"/>
      <c r="H598" s="17"/>
      <c r="I598" s="17"/>
      <c r="J598" s="17"/>
      <c r="K598" s="17"/>
      <c r="L598" s="18" t="s">
        <v>1015</v>
      </c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</row>
    <row r="599" spans="1:80" ht="16.149999999999999" customHeight="1" x14ac:dyDescent="0.25">
      <c r="A599" s="16"/>
      <c r="B599" s="16"/>
      <c r="C599" s="16"/>
      <c r="D599" s="16"/>
      <c r="E599" s="16"/>
      <c r="F599" s="16"/>
      <c r="G599" s="17"/>
      <c r="H599" s="17"/>
      <c r="I599" s="17"/>
      <c r="J599" s="17"/>
      <c r="K599" s="17"/>
      <c r="L599" s="18" t="s">
        <v>1016</v>
      </c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</row>
    <row r="600" spans="1:80" ht="16.149999999999999" customHeight="1" x14ac:dyDescent="0.25">
      <c r="A600" s="16"/>
      <c r="B600" s="16"/>
      <c r="C600" s="16"/>
      <c r="D600" s="16"/>
      <c r="E600" s="16"/>
      <c r="F600" s="16"/>
      <c r="G600" s="17"/>
      <c r="H600" s="17"/>
      <c r="I600" s="17"/>
      <c r="J600" s="17"/>
      <c r="K600" s="17"/>
      <c r="L600" s="18" t="s">
        <v>1017</v>
      </c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</row>
    <row r="601" spans="1:80" ht="16.149999999999999" customHeight="1" x14ac:dyDescent="0.25">
      <c r="A601" s="16"/>
      <c r="B601" s="16"/>
      <c r="C601" s="16"/>
      <c r="D601" s="16"/>
      <c r="E601" s="16"/>
      <c r="F601" s="16"/>
      <c r="G601" s="17"/>
      <c r="H601" s="17"/>
      <c r="I601" s="17"/>
      <c r="J601" s="17"/>
      <c r="K601" s="17"/>
      <c r="L601" s="18" t="s">
        <v>1018</v>
      </c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</row>
    <row r="602" spans="1:80" ht="16.149999999999999" customHeight="1" x14ac:dyDescent="0.25">
      <c r="A602" s="16"/>
      <c r="B602" s="16"/>
      <c r="C602" s="16"/>
      <c r="D602" s="16"/>
      <c r="E602" s="16"/>
      <c r="F602" s="16"/>
      <c r="G602" s="17"/>
      <c r="H602" s="17"/>
      <c r="I602" s="17"/>
      <c r="J602" s="17"/>
      <c r="K602" s="17"/>
      <c r="L602" s="18" t="s">
        <v>1019</v>
      </c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</row>
    <row r="603" spans="1:80" ht="16.149999999999999" customHeight="1" x14ac:dyDescent="0.25">
      <c r="A603" s="16"/>
      <c r="B603" s="16"/>
      <c r="C603" s="16"/>
      <c r="D603" s="16"/>
      <c r="E603" s="16"/>
      <c r="F603" s="16"/>
      <c r="G603" s="17"/>
      <c r="H603" s="17"/>
      <c r="I603" s="17"/>
      <c r="J603" s="17"/>
      <c r="K603" s="17"/>
      <c r="L603" s="18" t="s">
        <v>1020</v>
      </c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</row>
    <row r="604" spans="1:80" ht="16.149999999999999" customHeight="1" x14ac:dyDescent="0.25">
      <c r="A604" s="16"/>
      <c r="B604" s="16"/>
      <c r="C604" s="16"/>
      <c r="D604" s="16"/>
      <c r="E604" s="16"/>
      <c r="F604" s="16"/>
      <c r="G604" s="17"/>
      <c r="H604" s="17"/>
      <c r="I604" s="17"/>
      <c r="J604" s="17"/>
      <c r="K604" s="17"/>
      <c r="L604" s="18" t="s">
        <v>1021</v>
      </c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</row>
    <row r="605" spans="1:80" ht="16.149999999999999" customHeight="1" x14ac:dyDescent="0.25">
      <c r="A605" s="16"/>
      <c r="B605" s="16"/>
      <c r="C605" s="16"/>
      <c r="D605" s="16"/>
      <c r="E605" s="16"/>
      <c r="F605" s="16"/>
      <c r="G605" s="17"/>
      <c r="H605" s="17"/>
      <c r="I605" s="17"/>
      <c r="J605" s="17"/>
      <c r="K605" s="17"/>
      <c r="L605" s="18" t="s">
        <v>1022</v>
      </c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</row>
    <row r="606" spans="1:80" ht="16.149999999999999" customHeight="1" x14ac:dyDescent="0.25">
      <c r="A606" s="16"/>
      <c r="B606" s="16"/>
      <c r="C606" s="16"/>
      <c r="D606" s="16"/>
      <c r="E606" s="16"/>
      <c r="F606" s="16"/>
      <c r="G606" s="17"/>
      <c r="H606" s="17"/>
      <c r="I606" s="17"/>
      <c r="J606" s="17"/>
      <c r="K606" s="17"/>
      <c r="L606" s="18" t="s">
        <v>1023</v>
      </c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</row>
    <row r="607" spans="1:80" ht="16.149999999999999" customHeight="1" x14ac:dyDescent="0.25">
      <c r="A607" s="16"/>
      <c r="B607" s="16"/>
      <c r="C607" s="16"/>
      <c r="D607" s="16"/>
      <c r="E607" s="16"/>
      <c r="F607" s="16"/>
      <c r="G607" s="17"/>
      <c r="H607" s="17"/>
      <c r="I607" s="17"/>
      <c r="J607" s="17"/>
      <c r="K607" s="17"/>
      <c r="L607" s="18" t="s">
        <v>1024</v>
      </c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</row>
    <row r="608" spans="1:80" ht="16.149999999999999" customHeight="1" x14ac:dyDescent="0.25">
      <c r="A608" s="16"/>
      <c r="B608" s="16"/>
      <c r="C608" s="16"/>
      <c r="D608" s="16"/>
      <c r="E608" s="16"/>
      <c r="F608" s="16"/>
      <c r="G608" s="17"/>
      <c r="H608" s="17"/>
      <c r="I608" s="17"/>
      <c r="J608" s="17"/>
      <c r="K608" s="17"/>
      <c r="L608" s="18" t="s">
        <v>1818</v>
      </c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</row>
    <row r="609" spans="1:80" ht="16.149999999999999" customHeight="1" x14ac:dyDescent="0.25">
      <c r="A609" s="16"/>
      <c r="B609" s="16"/>
      <c r="C609" s="16"/>
      <c r="D609" s="16"/>
      <c r="E609" s="16"/>
      <c r="F609" s="16"/>
      <c r="G609" s="17"/>
      <c r="H609" s="17"/>
      <c r="I609" s="17"/>
      <c r="J609" s="17"/>
      <c r="K609" s="17"/>
      <c r="L609" s="18" t="s">
        <v>1025</v>
      </c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</row>
    <row r="610" spans="1:80" ht="16.149999999999999" customHeight="1" x14ac:dyDescent="0.25">
      <c r="A610" s="16"/>
      <c r="B610" s="16"/>
      <c r="C610" s="16"/>
      <c r="D610" s="16"/>
      <c r="E610" s="16"/>
      <c r="F610" s="16"/>
      <c r="G610" s="17"/>
      <c r="H610" s="17"/>
      <c r="I610" s="17"/>
      <c r="J610" s="17"/>
      <c r="K610" s="17"/>
      <c r="L610" s="18" t="s">
        <v>1026</v>
      </c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</row>
    <row r="611" spans="1:80" ht="16.149999999999999" customHeight="1" x14ac:dyDescent="0.25">
      <c r="A611" s="16"/>
      <c r="B611" s="16"/>
      <c r="C611" s="16"/>
      <c r="D611" s="16"/>
      <c r="E611" s="16"/>
      <c r="F611" s="16"/>
      <c r="G611" s="17"/>
      <c r="H611" s="17"/>
      <c r="I611" s="17"/>
      <c r="J611" s="17"/>
      <c r="K611" s="17"/>
      <c r="L611" s="18" t="s">
        <v>1027</v>
      </c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</row>
    <row r="612" spans="1:80" ht="16.149999999999999" customHeight="1" x14ac:dyDescent="0.25">
      <c r="A612" s="16"/>
      <c r="B612" s="16"/>
      <c r="C612" s="16"/>
      <c r="D612" s="16"/>
      <c r="E612" s="16"/>
      <c r="F612" s="16"/>
      <c r="G612" s="17"/>
      <c r="H612" s="17"/>
      <c r="I612" s="17"/>
      <c r="J612" s="17"/>
      <c r="K612" s="17"/>
      <c r="L612" s="18" t="s">
        <v>1028</v>
      </c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</row>
    <row r="613" spans="1:80" ht="16.149999999999999" customHeight="1" x14ac:dyDescent="0.25">
      <c r="A613" s="16"/>
      <c r="B613" s="16"/>
      <c r="C613" s="16"/>
      <c r="D613" s="16"/>
      <c r="E613" s="16"/>
      <c r="F613" s="16"/>
      <c r="G613" s="17"/>
      <c r="H613" s="17"/>
      <c r="I613" s="17"/>
      <c r="J613" s="17"/>
      <c r="K613" s="17"/>
      <c r="L613" s="18" t="s">
        <v>1029</v>
      </c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</row>
    <row r="614" spans="1:80" ht="16.149999999999999" customHeight="1" x14ac:dyDescent="0.25">
      <c r="A614" s="16"/>
      <c r="B614" s="16"/>
      <c r="C614" s="16"/>
      <c r="D614" s="16"/>
      <c r="E614" s="16"/>
      <c r="F614" s="16"/>
      <c r="G614" s="17"/>
      <c r="H614" s="17"/>
      <c r="I614" s="17"/>
      <c r="J614" s="17"/>
      <c r="K614" s="17"/>
      <c r="L614" s="18" t="s">
        <v>1030</v>
      </c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</row>
    <row r="615" spans="1:80" ht="16.149999999999999" customHeight="1" x14ac:dyDescent="0.25">
      <c r="A615" s="16"/>
      <c r="B615" s="16"/>
      <c r="C615" s="16"/>
      <c r="D615" s="16"/>
      <c r="E615" s="16"/>
      <c r="F615" s="16"/>
      <c r="G615" s="17"/>
      <c r="H615" s="17"/>
      <c r="I615" s="17"/>
      <c r="J615" s="17"/>
      <c r="K615" s="17"/>
      <c r="L615" s="18" t="s">
        <v>1031</v>
      </c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</row>
    <row r="616" spans="1:80" ht="16.149999999999999" customHeight="1" x14ac:dyDescent="0.25">
      <c r="A616" s="16"/>
      <c r="B616" s="16"/>
      <c r="C616" s="16"/>
      <c r="D616" s="16"/>
      <c r="E616" s="16"/>
      <c r="F616" s="16"/>
      <c r="G616" s="17"/>
      <c r="H616" s="17"/>
      <c r="I616" s="17"/>
      <c r="J616" s="17"/>
      <c r="K616" s="17"/>
      <c r="L616" s="18" t="s">
        <v>1032</v>
      </c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</row>
    <row r="617" spans="1:80" ht="16.149999999999999" customHeight="1" x14ac:dyDescent="0.25">
      <c r="A617" s="16"/>
      <c r="B617" s="16"/>
      <c r="C617" s="16"/>
      <c r="D617" s="16"/>
      <c r="E617" s="16"/>
      <c r="F617" s="16"/>
      <c r="G617" s="17"/>
      <c r="H617" s="17"/>
      <c r="I617" s="17"/>
      <c r="J617" s="17"/>
      <c r="K617" s="17"/>
      <c r="L617" s="18" t="s">
        <v>1033</v>
      </c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</row>
    <row r="618" spans="1:80" ht="16.149999999999999" customHeight="1" x14ac:dyDescent="0.25">
      <c r="A618" s="16"/>
      <c r="B618" s="16"/>
      <c r="C618" s="16"/>
      <c r="D618" s="16"/>
      <c r="E618" s="16"/>
      <c r="F618" s="16"/>
      <c r="G618" s="17"/>
      <c r="H618" s="17"/>
      <c r="I618" s="17"/>
      <c r="J618" s="17"/>
      <c r="K618" s="17"/>
      <c r="L618" s="18" t="s">
        <v>1034</v>
      </c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</row>
    <row r="619" spans="1:80" ht="16.149999999999999" customHeight="1" x14ac:dyDescent="0.25">
      <c r="A619" s="16"/>
      <c r="B619" s="16"/>
      <c r="C619" s="16"/>
      <c r="D619" s="16"/>
      <c r="E619" s="16"/>
      <c r="F619" s="16"/>
      <c r="G619" s="17"/>
      <c r="H619" s="17"/>
      <c r="I619" s="17"/>
      <c r="J619" s="17"/>
      <c r="K619" s="17"/>
      <c r="L619" s="18" t="s">
        <v>1035</v>
      </c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</row>
    <row r="620" spans="1:80" ht="16.149999999999999" customHeight="1" x14ac:dyDescent="0.25">
      <c r="A620" s="16"/>
      <c r="B620" s="16"/>
      <c r="C620" s="16"/>
      <c r="D620" s="16"/>
      <c r="E620" s="16"/>
      <c r="F620" s="16"/>
      <c r="G620" s="17"/>
      <c r="H620" s="17"/>
      <c r="I620" s="17"/>
      <c r="J620" s="17"/>
      <c r="K620" s="17"/>
      <c r="L620" s="18" t="s">
        <v>1036</v>
      </c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</row>
    <row r="621" spans="1:80" ht="16.149999999999999" customHeight="1" x14ac:dyDescent="0.25">
      <c r="A621" s="16"/>
      <c r="B621" s="16"/>
      <c r="C621" s="16"/>
      <c r="D621" s="16"/>
      <c r="E621" s="16"/>
      <c r="F621" s="16"/>
      <c r="G621" s="17"/>
      <c r="H621" s="17"/>
      <c r="I621" s="17"/>
      <c r="J621" s="17"/>
      <c r="K621" s="17"/>
      <c r="L621" s="18" t="s">
        <v>1037</v>
      </c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</row>
    <row r="622" spans="1:80" ht="16.149999999999999" customHeight="1" x14ac:dyDescent="0.25">
      <c r="A622" s="16"/>
      <c r="B622" s="16"/>
      <c r="C622" s="16"/>
      <c r="D622" s="16"/>
      <c r="E622" s="16"/>
      <c r="F622" s="16"/>
      <c r="G622" s="17"/>
      <c r="H622" s="17"/>
      <c r="I622" s="17"/>
      <c r="J622" s="17"/>
      <c r="K622" s="17"/>
      <c r="L622" s="18" t="s">
        <v>1038</v>
      </c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</row>
    <row r="623" spans="1:80" ht="16.149999999999999" customHeight="1" x14ac:dyDescent="0.25">
      <c r="A623" s="16"/>
      <c r="B623" s="16"/>
      <c r="C623" s="16"/>
      <c r="D623" s="16"/>
      <c r="E623" s="16"/>
      <c r="F623" s="16"/>
      <c r="G623" s="17"/>
      <c r="H623" s="17"/>
      <c r="I623" s="17"/>
      <c r="J623" s="17"/>
      <c r="K623" s="17"/>
      <c r="L623" s="18" t="s">
        <v>1039</v>
      </c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</row>
    <row r="624" spans="1:80" ht="16.149999999999999" customHeight="1" x14ac:dyDescent="0.25">
      <c r="A624" s="16"/>
      <c r="B624" s="16"/>
      <c r="C624" s="16"/>
      <c r="D624" s="16"/>
      <c r="E624" s="16"/>
      <c r="F624" s="16"/>
      <c r="G624" s="17"/>
      <c r="H624" s="17"/>
      <c r="I624" s="17"/>
      <c r="J624" s="17"/>
      <c r="K624" s="17"/>
      <c r="L624" s="18" t="s">
        <v>1040</v>
      </c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</row>
    <row r="625" spans="1:80" ht="16.149999999999999" customHeight="1" x14ac:dyDescent="0.25">
      <c r="A625" s="16"/>
      <c r="B625" s="16"/>
      <c r="C625" s="16"/>
      <c r="D625" s="16"/>
      <c r="E625" s="16"/>
      <c r="F625" s="16"/>
      <c r="G625" s="17"/>
      <c r="H625" s="17"/>
      <c r="I625" s="17"/>
      <c r="J625" s="17"/>
      <c r="K625" s="17"/>
      <c r="L625" s="18" t="s">
        <v>1041</v>
      </c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</row>
    <row r="626" spans="1:80" ht="16.149999999999999" customHeight="1" x14ac:dyDescent="0.25">
      <c r="A626" s="16"/>
      <c r="B626" s="16"/>
      <c r="C626" s="16"/>
      <c r="D626" s="16"/>
      <c r="E626" s="16"/>
      <c r="F626" s="16"/>
      <c r="G626" s="17"/>
      <c r="H626" s="17"/>
      <c r="I626" s="17"/>
      <c r="J626" s="17"/>
      <c r="K626" s="17"/>
      <c r="L626" s="18" t="s">
        <v>1042</v>
      </c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</row>
    <row r="627" spans="1:80" ht="16.149999999999999" customHeight="1" x14ac:dyDescent="0.25">
      <c r="A627" s="16"/>
      <c r="B627" s="16"/>
      <c r="C627" s="16"/>
      <c r="D627" s="16"/>
      <c r="E627" s="16"/>
      <c r="F627" s="16"/>
      <c r="G627" s="17"/>
      <c r="H627" s="17"/>
      <c r="I627" s="17"/>
      <c r="J627" s="17"/>
      <c r="K627" s="17"/>
      <c r="L627" s="18" t="s">
        <v>1043</v>
      </c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</row>
    <row r="628" spans="1:80" ht="16.149999999999999" customHeight="1" x14ac:dyDescent="0.25">
      <c r="A628" s="16"/>
      <c r="B628" s="16"/>
      <c r="C628" s="16"/>
      <c r="D628" s="16"/>
      <c r="E628" s="16"/>
      <c r="F628" s="16"/>
      <c r="G628" s="17"/>
      <c r="H628" s="17"/>
      <c r="I628" s="17"/>
      <c r="J628" s="17"/>
      <c r="K628" s="17"/>
      <c r="L628" s="18" t="s">
        <v>1044</v>
      </c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</row>
    <row r="629" spans="1:80" ht="16.149999999999999" customHeight="1" x14ac:dyDescent="0.25">
      <c r="A629" s="16"/>
      <c r="B629" s="16"/>
      <c r="C629" s="16"/>
      <c r="D629" s="16"/>
      <c r="E629" s="16"/>
      <c r="F629" s="16"/>
      <c r="G629" s="17"/>
      <c r="H629" s="17"/>
      <c r="I629" s="17"/>
      <c r="J629" s="17"/>
      <c r="K629" s="17"/>
      <c r="L629" s="18" t="s">
        <v>1045</v>
      </c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</row>
    <row r="630" spans="1:80" ht="16.149999999999999" customHeight="1" x14ac:dyDescent="0.25">
      <c r="A630" s="16"/>
      <c r="B630" s="16"/>
      <c r="C630" s="16"/>
      <c r="D630" s="16"/>
      <c r="E630" s="16"/>
      <c r="F630" s="16"/>
      <c r="G630" s="17"/>
      <c r="H630" s="17"/>
      <c r="I630" s="17"/>
      <c r="J630" s="17"/>
      <c r="K630" s="17"/>
      <c r="L630" s="18" t="s">
        <v>1046</v>
      </c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</row>
    <row r="631" spans="1:80" ht="16.149999999999999" customHeight="1" x14ac:dyDescent="0.25">
      <c r="A631" s="16"/>
      <c r="B631" s="16"/>
      <c r="C631" s="16"/>
      <c r="D631" s="16"/>
      <c r="E631" s="16"/>
      <c r="F631" s="16"/>
      <c r="G631" s="17"/>
      <c r="H631" s="17"/>
      <c r="I631" s="17"/>
      <c r="J631" s="17"/>
      <c r="K631" s="17"/>
      <c r="L631" s="18" t="s">
        <v>1047</v>
      </c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</row>
    <row r="632" spans="1:80" ht="16.149999999999999" customHeight="1" x14ac:dyDescent="0.25">
      <c r="A632" s="16"/>
      <c r="B632" s="16"/>
      <c r="C632" s="16"/>
      <c r="D632" s="16"/>
      <c r="E632" s="16"/>
      <c r="F632" s="16"/>
      <c r="G632" s="17"/>
      <c r="H632" s="17"/>
      <c r="I632" s="17"/>
      <c r="J632" s="17"/>
      <c r="K632" s="17"/>
      <c r="L632" s="18" t="s">
        <v>1048</v>
      </c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</row>
    <row r="633" spans="1:80" ht="16.149999999999999" customHeight="1" x14ac:dyDescent="0.25">
      <c r="A633" s="16"/>
      <c r="B633" s="16"/>
      <c r="C633" s="16"/>
      <c r="D633" s="16"/>
      <c r="E633" s="16"/>
      <c r="F633" s="16"/>
      <c r="G633" s="17"/>
      <c r="H633" s="17"/>
      <c r="I633" s="17"/>
      <c r="J633" s="17"/>
      <c r="K633" s="17"/>
      <c r="L633" s="18" t="s">
        <v>1049</v>
      </c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</row>
    <row r="634" spans="1:80" ht="16.149999999999999" customHeight="1" x14ac:dyDescent="0.25">
      <c r="A634" s="16"/>
      <c r="B634" s="16"/>
      <c r="C634" s="16"/>
      <c r="D634" s="16"/>
      <c r="E634" s="16"/>
      <c r="F634" s="16"/>
      <c r="G634" s="17"/>
      <c r="H634" s="17"/>
      <c r="I634" s="17"/>
      <c r="J634" s="17"/>
      <c r="K634" s="17"/>
      <c r="L634" s="18" t="s">
        <v>1050</v>
      </c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</row>
    <row r="635" spans="1:80" ht="16.149999999999999" customHeight="1" x14ac:dyDescent="0.25">
      <c r="A635" s="16"/>
      <c r="B635" s="16"/>
      <c r="C635" s="16"/>
      <c r="D635" s="16"/>
      <c r="E635" s="16"/>
      <c r="F635" s="16"/>
      <c r="G635" s="17"/>
      <c r="H635" s="17"/>
      <c r="I635" s="17"/>
      <c r="J635" s="17"/>
      <c r="K635" s="17"/>
      <c r="L635" s="18" t="s">
        <v>1051</v>
      </c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</row>
    <row r="636" spans="1:80" ht="16.149999999999999" customHeight="1" x14ac:dyDescent="0.25">
      <c r="A636" s="16"/>
      <c r="B636" s="16"/>
      <c r="C636" s="16"/>
      <c r="D636" s="16"/>
      <c r="E636" s="16"/>
      <c r="F636" s="16"/>
      <c r="G636" s="17"/>
      <c r="H636" s="17"/>
      <c r="I636" s="17"/>
      <c r="J636" s="17"/>
      <c r="K636" s="17"/>
      <c r="L636" s="18" t="s">
        <v>1052</v>
      </c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</row>
    <row r="637" spans="1:80" ht="16.149999999999999" customHeight="1" x14ac:dyDescent="0.25">
      <c r="A637" s="16"/>
      <c r="B637" s="16"/>
      <c r="C637" s="16"/>
      <c r="D637" s="16"/>
      <c r="E637" s="16"/>
      <c r="F637" s="16"/>
      <c r="G637" s="17"/>
      <c r="H637" s="17"/>
      <c r="I637" s="17"/>
      <c r="J637" s="17"/>
      <c r="K637" s="17"/>
      <c r="L637" s="18" t="s">
        <v>1053</v>
      </c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</row>
    <row r="638" spans="1:80" ht="16.149999999999999" customHeight="1" x14ac:dyDescent="0.25">
      <c r="A638" s="16"/>
      <c r="B638" s="16"/>
      <c r="C638" s="16"/>
      <c r="D638" s="16"/>
      <c r="E638" s="16"/>
      <c r="F638" s="16"/>
      <c r="G638" s="17"/>
      <c r="H638" s="17"/>
      <c r="I638" s="17"/>
      <c r="J638" s="17"/>
      <c r="K638" s="17"/>
      <c r="L638" s="18" t="s">
        <v>1054</v>
      </c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</row>
    <row r="639" spans="1:80" ht="16.149999999999999" customHeight="1" x14ac:dyDescent="0.25">
      <c r="A639" s="16"/>
      <c r="B639" s="16"/>
      <c r="C639" s="16"/>
      <c r="D639" s="16"/>
      <c r="E639" s="16"/>
      <c r="F639" s="16"/>
      <c r="G639" s="17"/>
      <c r="H639" s="17"/>
      <c r="I639" s="17"/>
      <c r="J639" s="17"/>
      <c r="K639" s="17"/>
      <c r="L639" s="18" t="s">
        <v>1055</v>
      </c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</row>
    <row r="640" spans="1:80" ht="16.149999999999999" customHeight="1" x14ac:dyDescent="0.25">
      <c r="A640" s="16"/>
      <c r="B640" s="16"/>
      <c r="C640" s="16"/>
      <c r="D640" s="16"/>
      <c r="E640" s="16"/>
      <c r="F640" s="16"/>
      <c r="G640" s="17"/>
      <c r="H640" s="17"/>
      <c r="I640" s="17"/>
      <c r="J640" s="17"/>
      <c r="K640" s="17"/>
      <c r="L640" s="18" t="s">
        <v>1056</v>
      </c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</row>
    <row r="641" spans="1:80" ht="16.149999999999999" customHeight="1" x14ac:dyDescent="0.25">
      <c r="A641" s="16"/>
      <c r="B641" s="16"/>
      <c r="C641" s="16"/>
      <c r="D641" s="16"/>
      <c r="E641" s="16"/>
      <c r="F641" s="16"/>
      <c r="G641" s="17"/>
      <c r="H641" s="17"/>
      <c r="I641" s="17"/>
      <c r="J641" s="17"/>
      <c r="K641" s="17"/>
      <c r="L641" s="18" t="s">
        <v>1057</v>
      </c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</row>
    <row r="642" spans="1:80" ht="16.149999999999999" customHeight="1" x14ac:dyDescent="0.25">
      <c r="A642" s="16"/>
      <c r="B642" s="16"/>
      <c r="C642" s="16"/>
      <c r="D642" s="16"/>
      <c r="E642" s="16"/>
      <c r="F642" s="16"/>
      <c r="G642" s="17"/>
      <c r="H642" s="17"/>
      <c r="I642" s="17"/>
      <c r="J642" s="17"/>
      <c r="K642" s="17"/>
      <c r="L642" s="18" t="s">
        <v>1058</v>
      </c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</row>
    <row r="643" spans="1:80" ht="16.149999999999999" customHeight="1" x14ac:dyDescent="0.25">
      <c r="A643" s="16"/>
      <c r="B643" s="16"/>
      <c r="C643" s="16"/>
      <c r="D643" s="16"/>
      <c r="E643" s="16"/>
      <c r="F643" s="16"/>
      <c r="G643" s="17"/>
      <c r="H643" s="17"/>
      <c r="I643" s="17"/>
      <c r="J643" s="17"/>
      <c r="K643" s="17"/>
      <c r="L643" s="18" t="s">
        <v>1059</v>
      </c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</row>
    <row r="644" spans="1:80" ht="16.149999999999999" customHeight="1" x14ac:dyDescent="0.25">
      <c r="A644" s="16"/>
      <c r="B644" s="16"/>
      <c r="C644" s="16"/>
      <c r="D644" s="16"/>
      <c r="E644" s="16"/>
      <c r="F644" s="16"/>
      <c r="G644" s="17"/>
      <c r="H644" s="17"/>
      <c r="I644" s="17"/>
      <c r="J644" s="17"/>
      <c r="K644" s="17"/>
      <c r="L644" s="18" t="s">
        <v>1060</v>
      </c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</row>
    <row r="645" spans="1:80" ht="16.149999999999999" customHeight="1" x14ac:dyDescent="0.25">
      <c r="A645" s="16"/>
      <c r="B645" s="16"/>
      <c r="C645" s="16"/>
      <c r="D645" s="16"/>
      <c r="E645" s="16"/>
      <c r="F645" s="16"/>
      <c r="G645" s="17"/>
      <c r="H645" s="17"/>
      <c r="I645" s="17"/>
      <c r="J645" s="17"/>
      <c r="K645" s="17"/>
      <c r="L645" s="18" t="s">
        <v>1061</v>
      </c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</row>
    <row r="646" spans="1:80" ht="16.149999999999999" customHeight="1" x14ac:dyDescent="0.25">
      <c r="A646" s="16"/>
      <c r="B646" s="16"/>
      <c r="C646" s="16"/>
      <c r="D646" s="16"/>
      <c r="E646" s="16"/>
      <c r="F646" s="16"/>
      <c r="G646" s="17"/>
      <c r="H646" s="17"/>
      <c r="I646" s="17"/>
      <c r="J646" s="17"/>
      <c r="K646" s="17"/>
      <c r="L646" s="18" t="s">
        <v>1062</v>
      </c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</row>
    <row r="647" spans="1:80" ht="16.149999999999999" customHeight="1" x14ac:dyDescent="0.25">
      <c r="A647" s="16"/>
      <c r="B647" s="16"/>
      <c r="C647" s="16"/>
      <c r="D647" s="16"/>
      <c r="E647" s="16"/>
      <c r="F647" s="16"/>
      <c r="G647" s="17"/>
      <c r="H647" s="17"/>
      <c r="I647" s="17"/>
      <c r="J647" s="17"/>
      <c r="K647" s="17"/>
      <c r="L647" s="18" t="s">
        <v>1063</v>
      </c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</row>
    <row r="648" spans="1:80" ht="16.149999999999999" customHeight="1" x14ac:dyDescent="0.25">
      <c r="A648" s="16"/>
      <c r="B648" s="16"/>
      <c r="C648" s="16"/>
      <c r="D648" s="16"/>
      <c r="E648" s="16"/>
      <c r="F648" s="16"/>
      <c r="G648" s="17"/>
      <c r="H648" s="17"/>
      <c r="I648" s="17"/>
      <c r="J648" s="17"/>
      <c r="K648" s="17"/>
      <c r="L648" s="18" t="s">
        <v>1064</v>
      </c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</row>
    <row r="649" spans="1:80" ht="16.149999999999999" customHeight="1" x14ac:dyDescent="0.25">
      <c r="A649" s="16"/>
      <c r="B649" s="16"/>
      <c r="C649" s="16"/>
      <c r="D649" s="16"/>
      <c r="E649" s="16"/>
      <c r="F649" s="16"/>
      <c r="G649" s="17"/>
      <c r="H649" s="17"/>
      <c r="I649" s="17"/>
      <c r="J649" s="17"/>
      <c r="K649" s="17"/>
      <c r="L649" s="18" t="s">
        <v>1065</v>
      </c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</row>
    <row r="650" spans="1:80" ht="16.149999999999999" customHeight="1" x14ac:dyDescent="0.25">
      <c r="A650" s="16"/>
      <c r="B650" s="16"/>
      <c r="C650" s="16"/>
      <c r="D650" s="16"/>
      <c r="E650" s="16"/>
      <c r="F650" s="16"/>
      <c r="G650" s="17"/>
      <c r="H650" s="17"/>
      <c r="I650" s="17"/>
      <c r="J650" s="17"/>
      <c r="K650" s="17"/>
      <c r="L650" s="18" t="s">
        <v>1066</v>
      </c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</row>
    <row r="651" spans="1:80" ht="16.149999999999999" customHeight="1" x14ac:dyDescent="0.25">
      <c r="A651" s="16"/>
      <c r="B651" s="16"/>
      <c r="C651" s="16"/>
      <c r="D651" s="16"/>
      <c r="E651" s="16"/>
      <c r="F651" s="16"/>
      <c r="G651" s="17"/>
      <c r="H651" s="17"/>
      <c r="I651" s="17"/>
      <c r="J651" s="17"/>
      <c r="K651" s="17"/>
      <c r="L651" s="18" t="s">
        <v>1067</v>
      </c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</row>
    <row r="652" spans="1:80" ht="16.149999999999999" customHeight="1" x14ac:dyDescent="0.25">
      <c r="A652" s="16"/>
      <c r="B652" s="16"/>
      <c r="C652" s="16"/>
      <c r="D652" s="16"/>
      <c r="E652" s="16"/>
      <c r="F652" s="16"/>
      <c r="G652" s="17"/>
      <c r="H652" s="17"/>
      <c r="I652" s="17"/>
      <c r="J652" s="17"/>
      <c r="K652" s="17"/>
      <c r="L652" s="18" t="s">
        <v>1068</v>
      </c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</row>
    <row r="653" spans="1:80" ht="16.149999999999999" customHeight="1" x14ac:dyDescent="0.25">
      <c r="A653" s="16"/>
      <c r="B653" s="16"/>
      <c r="C653" s="16"/>
      <c r="D653" s="16"/>
      <c r="E653" s="16"/>
      <c r="F653" s="16"/>
      <c r="G653" s="17"/>
      <c r="H653" s="17"/>
      <c r="I653" s="17"/>
      <c r="J653" s="17"/>
      <c r="K653" s="17"/>
      <c r="L653" s="18" t="s">
        <v>1069</v>
      </c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</row>
    <row r="654" spans="1:80" ht="16.149999999999999" customHeight="1" x14ac:dyDescent="0.25">
      <c r="A654" s="16"/>
      <c r="B654" s="16"/>
      <c r="C654" s="16"/>
      <c r="D654" s="16"/>
      <c r="E654" s="16"/>
      <c r="F654" s="16"/>
      <c r="G654" s="17"/>
      <c r="H654" s="17"/>
      <c r="I654" s="17"/>
      <c r="J654" s="17"/>
      <c r="K654" s="17"/>
      <c r="L654" s="18" t="s">
        <v>1070</v>
      </c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</row>
    <row r="655" spans="1:80" ht="16.149999999999999" customHeight="1" x14ac:dyDescent="0.25">
      <c r="A655" s="16"/>
      <c r="B655" s="16"/>
      <c r="C655" s="16"/>
      <c r="D655" s="16"/>
      <c r="E655" s="16"/>
      <c r="F655" s="16"/>
      <c r="G655" s="17"/>
      <c r="H655" s="17"/>
      <c r="I655" s="17"/>
      <c r="J655" s="17"/>
      <c r="K655" s="17"/>
      <c r="L655" s="18" t="s">
        <v>1071</v>
      </c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</row>
    <row r="656" spans="1:80" ht="16.149999999999999" customHeight="1" x14ac:dyDescent="0.25">
      <c r="A656" s="16"/>
      <c r="B656" s="16"/>
      <c r="C656" s="16"/>
      <c r="D656" s="16"/>
      <c r="E656" s="16"/>
      <c r="F656" s="16"/>
      <c r="G656" s="17"/>
      <c r="H656" s="17"/>
      <c r="I656" s="17"/>
      <c r="J656" s="17"/>
      <c r="K656" s="17"/>
      <c r="L656" s="18" t="s">
        <v>1072</v>
      </c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</row>
    <row r="657" spans="1:80" ht="16.149999999999999" customHeight="1" x14ac:dyDescent="0.25">
      <c r="A657" s="16"/>
      <c r="B657" s="16"/>
      <c r="C657" s="16"/>
      <c r="D657" s="16"/>
      <c r="E657" s="16"/>
      <c r="F657" s="16"/>
      <c r="G657" s="17"/>
      <c r="H657" s="17"/>
      <c r="I657" s="17"/>
      <c r="J657" s="17"/>
      <c r="K657" s="17"/>
      <c r="L657" s="18" t="s">
        <v>1073</v>
      </c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</row>
    <row r="658" spans="1:80" ht="16.149999999999999" customHeight="1" x14ac:dyDescent="0.25">
      <c r="A658" s="16"/>
      <c r="B658" s="16"/>
      <c r="C658" s="16"/>
      <c r="D658" s="16"/>
      <c r="E658" s="16"/>
      <c r="F658" s="16"/>
      <c r="G658" s="17"/>
      <c r="H658" s="17"/>
      <c r="I658" s="17"/>
      <c r="J658" s="17"/>
      <c r="K658" s="17"/>
      <c r="L658" s="18" t="s">
        <v>1074</v>
      </c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</row>
    <row r="659" spans="1:80" ht="16.149999999999999" customHeight="1" x14ac:dyDescent="0.25">
      <c r="A659" s="16"/>
      <c r="B659" s="16"/>
      <c r="C659" s="16"/>
      <c r="D659" s="16"/>
      <c r="E659" s="16"/>
      <c r="F659" s="16"/>
      <c r="G659" s="17"/>
      <c r="H659" s="17"/>
      <c r="I659" s="17"/>
      <c r="J659" s="17"/>
      <c r="K659" s="17"/>
      <c r="L659" s="18" t="s">
        <v>1075</v>
      </c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</row>
    <row r="660" spans="1:80" ht="16.149999999999999" customHeight="1" x14ac:dyDescent="0.25">
      <c r="A660" s="16"/>
      <c r="B660" s="16"/>
      <c r="C660" s="16"/>
      <c r="D660" s="16"/>
      <c r="E660" s="16"/>
      <c r="F660" s="16"/>
      <c r="G660" s="17"/>
      <c r="H660" s="17"/>
      <c r="I660" s="17"/>
      <c r="J660" s="17"/>
      <c r="K660" s="17"/>
      <c r="L660" s="18" t="s">
        <v>1076</v>
      </c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</row>
    <row r="661" spans="1:80" ht="16.149999999999999" customHeight="1" x14ac:dyDescent="0.25">
      <c r="A661" s="16"/>
      <c r="B661" s="16"/>
      <c r="C661" s="16"/>
      <c r="D661" s="16"/>
      <c r="E661" s="16"/>
      <c r="F661" s="16"/>
      <c r="G661" s="17"/>
      <c r="H661" s="17"/>
      <c r="I661" s="17"/>
      <c r="J661" s="17"/>
      <c r="K661" s="17"/>
      <c r="L661" s="18" t="s">
        <v>1077</v>
      </c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</row>
    <row r="662" spans="1:80" ht="16.149999999999999" customHeight="1" x14ac:dyDescent="0.25">
      <c r="A662" s="16"/>
      <c r="B662" s="16"/>
      <c r="C662" s="16"/>
      <c r="D662" s="16"/>
      <c r="E662" s="16"/>
      <c r="F662" s="16"/>
      <c r="G662" s="17"/>
      <c r="H662" s="17"/>
      <c r="I662" s="17"/>
      <c r="J662" s="17"/>
      <c r="K662" s="17"/>
      <c r="L662" s="18" t="s">
        <v>1078</v>
      </c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</row>
    <row r="663" spans="1:80" ht="16.149999999999999" customHeight="1" x14ac:dyDescent="0.25">
      <c r="A663" s="16"/>
      <c r="B663" s="16"/>
      <c r="C663" s="16"/>
      <c r="D663" s="16"/>
      <c r="E663" s="16"/>
      <c r="F663" s="16"/>
      <c r="G663" s="17"/>
      <c r="H663" s="17"/>
      <c r="I663" s="17"/>
      <c r="J663" s="17"/>
      <c r="K663" s="17"/>
      <c r="L663" s="18" t="s">
        <v>1079</v>
      </c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</row>
    <row r="664" spans="1:80" ht="16.149999999999999" customHeight="1" x14ac:dyDescent="0.25">
      <c r="A664" s="16"/>
      <c r="B664" s="16"/>
      <c r="C664" s="16"/>
      <c r="D664" s="16"/>
      <c r="E664" s="16"/>
      <c r="F664" s="16"/>
      <c r="G664" s="17"/>
      <c r="H664" s="17"/>
      <c r="I664" s="17"/>
      <c r="J664" s="17"/>
      <c r="K664" s="17"/>
      <c r="L664" s="18" t="s">
        <v>1080</v>
      </c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</row>
    <row r="665" spans="1:80" ht="16.149999999999999" customHeight="1" x14ac:dyDescent="0.25">
      <c r="A665" s="16"/>
      <c r="B665" s="16"/>
      <c r="C665" s="16"/>
      <c r="D665" s="16"/>
      <c r="E665" s="16"/>
      <c r="F665" s="16"/>
      <c r="G665" s="17"/>
      <c r="H665" s="17"/>
      <c r="I665" s="17"/>
      <c r="J665" s="17"/>
      <c r="K665" s="17"/>
      <c r="L665" s="18" t="s">
        <v>1081</v>
      </c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</row>
    <row r="666" spans="1:80" ht="16.149999999999999" customHeight="1" x14ac:dyDescent="0.25">
      <c r="A666" s="16"/>
      <c r="B666" s="16"/>
      <c r="C666" s="16"/>
      <c r="D666" s="16"/>
      <c r="E666" s="16"/>
      <c r="F666" s="16"/>
      <c r="G666" s="17"/>
      <c r="H666" s="17"/>
      <c r="I666" s="17"/>
      <c r="J666" s="17"/>
      <c r="K666" s="17"/>
      <c r="L666" s="18" t="s">
        <v>1082</v>
      </c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</row>
    <row r="667" spans="1:80" ht="16.149999999999999" customHeight="1" x14ac:dyDescent="0.25">
      <c r="A667" s="16"/>
      <c r="B667" s="16"/>
      <c r="C667" s="16"/>
      <c r="D667" s="16"/>
      <c r="E667" s="16"/>
      <c r="F667" s="16"/>
      <c r="G667" s="17"/>
      <c r="H667" s="17"/>
      <c r="I667" s="17"/>
      <c r="J667" s="17"/>
      <c r="K667" s="17"/>
      <c r="L667" s="18" t="s">
        <v>1083</v>
      </c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</row>
    <row r="668" spans="1:80" ht="16.149999999999999" customHeight="1" x14ac:dyDescent="0.25">
      <c r="A668" s="16"/>
      <c r="B668" s="16"/>
      <c r="C668" s="16"/>
      <c r="D668" s="16"/>
      <c r="E668" s="16"/>
      <c r="F668" s="16"/>
      <c r="G668" s="17"/>
      <c r="H668" s="17"/>
      <c r="I668" s="17"/>
      <c r="J668" s="17"/>
      <c r="K668" s="17"/>
      <c r="L668" s="18" t="s">
        <v>1084</v>
      </c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</row>
    <row r="669" spans="1:80" ht="16.149999999999999" customHeight="1" x14ac:dyDescent="0.25">
      <c r="A669" s="16"/>
      <c r="B669" s="16"/>
      <c r="C669" s="16"/>
      <c r="D669" s="16"/>
      <c r="E669" s="16"/>
      <c r="F669" s="16"/>
      <c r="G669" s="17"/>
      <c r="H669" s="17"/>
      <c r="I669" s="17"/>
      <c r="J669" s="17"/>
      <c r="K669" s="17"/>
      <c r="L669" s="18" t="s">
        <v>1085</v>
      </c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</row>
    <row r="670" spans="1:80" ht="16.149999999999999" customHeight="1" x14ac:dyDescent="0.25">
      <c r="A670" s="16"/>
      <c r="B670" s="16"/>
      <c r="C670" s="16"/>
      <c r="D670" s="16"/>
      <c r="E670" s="16"/>
      <c r="F670" s="16"/>
      <c r="G670" s="17"/>
      <c r="H670" s="17"/>
      <c r="I670" s="17"/>
      <c r="J670" s="17"/>
      <c r="K670" s="17"/>
      <c r="L670" s="18" t="s">
        <v>1086</v>
      </c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</row>
    <row r="671" spans="1:80" ht="16.149999999999999" customHeight="1" x14ac:dyDescent="0.25">
      <c r="A671" s="16"/>
      <c r="B671" s="16"/>
      <c r="C671" s="16"/>
      <c r="D671" s="16"/>
      <c r="E671" s="16"/>
      <c r="F671" s="16"/>
      <c r="G671" s="17"/>
      <c r="H671" s="17"/>
      <c r="I671" s="17"/>
      <c r="J671" s="17"/>
      <c r="K671" s="17"/>
      <c r="L671" s="18" t="s">
        <v>1087</v>
      </c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</row>
    <row r="672" spans="1:80" ht="16.149999999999999" customHeight="1" x14ac:dyDescent="0.25">
      <c r="A672" s="16"/>
      <c r="B672" s="16"/>
      <c r="C672" s="16"/>
      <c r="D672" s="16"/>
      <c r="E672" s="16"/>
      <c r="F672" s="16"/>
      <c r="G672" s="17"/>
      <c r="H672" s="17"/>
      <c r="I672" s="17"/>
      <c r="J672" s="17"/>
      <c r="K672" s="17"/>
      <c r="L672" s="18" t="s">
        <v>1088</v>
      </c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</row>
    <row r="673" spans="1:80" ht="16.149999999999999" customHeight="1" x14ac:dyDescent="0.25">
      <c r="A673" s="16"/>
      <c r="B673" s="16"/>
      <c r="C673" s="16"/>
      <c r="D673" s="16"/>
      <c r="E673" s="16"/>
      <c r="F673" s="16"/>
      <c r="G673" s="17"/>
      <c r="H673" s="17"/>
      <c r="I673" s="17"/>
      <c r="J673" s="17"/>
      <c r="K673" s="17"/>
      <c r="L673" s="18" t="s">
        <v>1089</v>
      </c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</row>
    <row r="674" spans="1:80" ht="16.149999999999999" customHeight="1" x14ac:dyDescent="0.25">
      <c r="A674" s="16"/>
      <c r="B674" s="16"/>
      <c r="C674" s="16"/>
      <c r="D674" s="16"/>
      <c r="E674" s="16"/>
      <c r="F674" s="16"/>
      <c r="G674" s="17"/>
      <c r="H674" s="17"/>
      <c r="I674" s="17"/>
      <c r="J674" s="17"/>
      <c r="K674" s="17"/>
      <c r="L674" s="18" t="s">
        <v>1090</v>
      </c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</row>
    <row r="675" spans="1:80" ht="16.149999999999999" customHeight="1" x14ac:dyDescent="0.25">
      <c r="A675" s="16"/>
      <c r="B675" s="16"/>
      <c r="C675" s="16"/>
      <c r="D675" s="16"/>
      <c r="E675" s="16"/>
      <c r="F675" s="16"/>
      <c r="G675" s="17"/>
      <c r="H675" s="17"/>
      <c r="I675" s="17"/>
      <c r="J675" s="17"/>
      <c r="K675" s="17"/>
      <c r="L675" s="18" t="s">
        <v>1091</v>
      </c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</row>
    <row r="676" spans="1:80" ht="16.149999999999999" customHeight="1" x14ac:dyDescent="0.25">
      <c r="A676" s="16"/>
      <c r="B676" s="16"/>
      <c r="C676" s="16"/>
      <c r="D676" s="16"/>
      <c r="E676" s="16"/>
      <c r="F676" s="16"/>
      <c r="G676" s="17"/>
      <c r="H676" s="17"/>
      <c r="I676" s="17"/>
      <c r="J676" s="17"/>
      <c r="K676" s="17"/>
      <c r="L676" s="18" t="s">
        <v>1092</v>
      </c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</row>
    <row r="677" spans="1:80" ht="16.149999999999999" customHeight="1" x14ac:dyDescent="0.25">
      <c r="A677" s="16"/>
      <c r="B677" s="16"/>
      <c r="C677" s="16"/>
      <c r="D677" s="16"/>
      <c r="E677" s="16"/>
      <c r="F677" s="16"/>
      <c r="G677" s="17"/>
      <c r="H677" s="17"/>
      <c r="I677" s="17"/>
      <c r="J677" s="17"/>
      <c r="K677" s="17"/>
      <c r="L677" s="18" t="s">
        <v>1093</v>
      </c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</row>
    <row r="678" spans="1:80" ht="16.149999999999999" customHeight="1" x14ac:dyDescent="0.25">
      <c r="A678" s="16"/>
      <c r="B678" s="16"/>
      <c r="C678" s="16"/>
      <c r="D678" s="16"/>
      <c r="E678" s="16"/>
      <c r="F678" s="16"/>
      <c r="G678" s="17"/>
      <c r="H678" s="17"/>
      <c r="I678" s="17"/>
      <c r="J678" s="17"/>
      <c r="K678" s="17"/>
      <c r="L678" s="18" t="s">
        <v>1094</v>
      </c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</row>
    <row r="679" spans="1:80" ht="16.149999999999999" customHeight="1" x14ac:dyDescent="0.25">
      <c r="A679" s="16"/>
      <c r="B679" s="16"/>
      <c r="C679" s="16"/>
      <c r="D679" s="16"/>
      <c r="E679" s="16"/>
      <c r="F679" s="16"/>
      <c r="G679" s="17"/>
      <c r="H679" s="17"/>
      <c r="I679" s="17"/>
      <c r="J679" s="17"/>
      <c r="K679" s="17"/>
      <c r="L679" s="18" t="s">
        <v>1095</v>
      </c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</row>
    <row r="680" spans="1:80" ht="16.149999999999999" customHeight="1" x14ac:dyDescent="0.25">
      <c r="A680" s="16"/>
      <c r="B680" s="16"/>
      <c r="C680" s="16"/>
      <c r="D680" s="16"/>
      <c r="E680" s="16"/>
      <c r="F680" s="16"/>
      <c r="G680" s="17"/>
      <c r="H680" s="17"/>
      <c r="I680" s="17"/>
      <c r="J680" s="17"/>
      <c r="K680" s="17"/>
      <c r="L680" s="18" t="s">
        <v>1096</v>
      </c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</row>
    <row r="681" spans="1:80" ht="16.149999999999999" customHeight="1" x14ac:dyDescent="0.25">
      <c r="A681" s="16"/>
      <c r="B681" s="16"/>
      <c r="C681" s="16"/>
      <c r="D681" s="16"/>
      <c r="E681" s="16"/>
      <c r="F681" s="16"/>
      <c r="G681" s="17"/>
      <c r="H681" s="17"/>
      <c r="I681" s="17"/>
      <c r="J681" s="17"/>
      <c r="K681" s="17"/>
      <c r="L681" s="18" t="s">
        <v>1097</v>
      </c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</row>
    <row r="682" spans="1:80" ht="16.149999999999999" customHeight="1" x14ac:dyDescent="0.25">
      <c r="A682" s="16"/>
      <c r="B682" s="16"/>
      <c r="C682" s="16"/>
      <c r="D682" s="16"/>
      <c r="E682" s="16"/>
      <c r="F682" s="16"/>
      <c r="G682" s="17"/>
      <c r="H682" s="17"/>
      <c r="I682" s="17"/>
      <c r="J682" s="17"/>
      <c r="K682" s="17"/>
      <c r="L682" s="18" t="s">
        <v>1098</v>
      </c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</row>
    <row r="683" spans="1:80" ht="16.149999999999999" customHeight="1" x14ac:dyDescent="0.25">
      <c r="A683" s="16"/>
      <c r="B683" s="16"/>
      <c r="C683" s="16"/>
      <c r="D683" s="16"/>
      <c r="E683" s="16"/>
      <c r="F683" s="16"/>
      <c r="G683" s="17"/>
      <c r="H683" s="17"/>
      <c r="I683" s="17"/>
      <c r="J683" s="17"/>
      <c r="K683" s="17"/>
      <c r="L683" s="18" t="s">
        <v>1099</v>
      </c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</row>
    <row r="684" spans="1:80" ht="16.149999999999999" customHeight="1" x14ac:dyDescent="0.25">
      <c r="A684" s="16"/>
      <c r="B684" s="16"/>
      <c r="C684" s="16"/>
      <c r="D684" s="16"/>
      <c r="E684" s="16"/>
      <c r="F684" s="16"/>
      <c r="G684" s="17"/>
      <c r="H684" s="17"/>
      <c r="I684" s="17"/>
      <c r="J684" s="17"/>
      <c r="K684" s="17"/>
      <c r="L684" s="18" t="s">
        <v>1100</v>
      </c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</row>
    <row r="685" spans="1:80" ht="16.149999999999999" customHeight="1" x14ac:dyDescent="0.25">
      <c r="A685" s="16"/>
      <c r="B685" s="16"/>
      <c r="C685" s="16"/>
      <c r="D685" s="16"/>
      <c r="E685" s="16"/>
      <c r="F685" s="16"/>
      <c r="G685" s="17"/>
      <c r="H685" s="17"/>
      <c r="I685" s="17"/>
      <c r="J685" s="17"/>
      <c r="K685" s="17"/>
      <c r="L685" s="18" t="s">
        <v>1101</v>
      </c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</row>
    <row r="686" spans="1:80" ht="16.149999999999999" customHeight="1" x14ac:dyDescent="0.25">
      <c r="A686" s="16"/>
      <c r="B686" s="16"/>
      <c r="C686" s="16"/>
      <c r="D686" s="16"/>
      <c r="E686" s="16"/>
      <c r="F686" s="16"/>
      <c r="G686" s="17"/>
      <c r="H686" s="17"/>
      <c r="I686" s="17"/>
      <c r="J686" s="17"/>
      <c r="K686" s="17"/>
      <c r="L686" s="18" t="s">
        <v>1102</v>
      </c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</row>
    <row r="687" spans="1:80" ht="16.149999999999999" customHeight="1" x14ac:dyDescent="0.25">
      <c r="A687" s="16"/>
      <c r="B687" s="16"/>
      <c r="C687" s="16"/>
      <c r="D687" s="16"/>
      <c r="E687" s="16"/>
      <c r="F687" s="16"/>
      <c r="G687" s="17"/>
      <c r="H687" s="17"/>
      <c r="I687" s="17"/>
      <c r="J687" s="17"/>
      <c r="K687" s="17"/>
      <c r="L687" s="18" t="s">
        <v>1103</v>
      </c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</row>
    <row r="688" spans="1:80" ht="16.149999999999999" customHeight="1" x14ac:dyDescent="0.25">
      <c r="A688" s="16"/>
      <c r="B688" s="16"/>
      <c r="C688" s="16"/>
      <c r="D688" s="16"/>
      <c r="E688" s="16"/>
      <c r="F688" s="16"/>
      <c r="G688" s="17"/>
      <c r="H688" s="17"/>
      <c r="I688" s="17"/>
      <c r="J688" s="17"/>
      <c r="K688" s="17"/>
      <c r="L688" s="18" t="s">
        <v>1104</v>
      </c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</row>
    <row r="689" spans="1:80" ht="16.149999999999999" customHeight="1" x14ac:dyDescent="0.25">
      <c r="A689" s="16"/>
      <c r="B689" s="16"/>
      <c r="C689" s="16"/>
      <c r="D689" s="16"/>
      <c r="E689" s="16"/>
      <c r="F689" s="16"/>
      <c r="G689" s="17"/>
      <c r="H689" s="17"/>
      <c r="I689" s="17"/>
      <c r="J689" s="17"/>
      <c r="K689" s="17"/>
      <c r="L689" s="18" t="s">
        <v>1105</v>
      </c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</row>
    <row r="690" spans="1:80" ht="16.149999999999999" customHeight="1" x14ac:dyDescent="0.25">
      <c r="A690" s="16"/>
      <c r="B690" s="16"/>
      <c r="C690" s="16"/>
      <c r="D690" s="16"/>
      <c r="E690" s="16"/>
      <c r="F690" s="16"/>
      <c r="G690" s="17"/>
      <c r="H690" s="17"/>
      <c r="I690" s="17"/>
      <c r="J690" s="17"/>
      <c r="K690" s="17"/>
      <c r="L690" s="18" t="s">
        <v>1106</v>
      </c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</row>
    <row r="691" spans="1:80" ht="16.149999999999999" customHeight="1" x14ac:dyDescent="0.25">
      <c r="A691" s="16"/>
      <c r="B691" s="16"/>
      <c r="C691" s="16"/>
      <c r="D691" s="16"/>
      <c r="E691" s="16"/>
      <c r="F691" s="16"/>
      <c r="G691" s="17"/>
      <c r="H691" s="17"/>
      <c r="I691" s="17"/>
      <c r="J691" s="17"/>
      <c r="K691" s="17"/>
      <c r="L691" s="18" t="s">
        <v>1107</v>
      </c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</row>
    <row r="692" spans="1:80" ht="16.149999999999999" customHeight="1" x14ac:dyDescent="0.25">
      <c r="A692" s="16"/>
      <c r="B692" s="16"/>
      <c r="C692" s="16"/>
      <c r="D692" s="16"/>
      <c r="E692" s="16"/>
      <c r="F692" s="16"/>
      <c r="G692" s="17"/>
      <c r="H692" s="17"/>
      <c r="I692" s="17"/>
      <c r="J692" s="17"/>
      <c r="K692" s="17"/>
      <c r="L692" s="18" t="s">
        <v>1108</v>
      </c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</row>
    <row r="693" spans="1:80" ht="16.149999999999999" customHeight="1" x14ac:dyDescent="0.25">
      <c r="A693" s="16"/>
      <c r="B693" s="16"/>
      <c r="C693" s="16"/>
      <c r="D693" s="16"/>
      <c r="E693" s="16"/>
      <c r="F693" s="16"/>
      <c r="G693" s="17"/>
      <c r="H693" s="17"/>
      <c r="I693" s="17"/>
      <c r="J693" s="17"/>
      <c r="K693" s="17"/>
      <c r="L693" s="18" t="s">
        <v>1109</v>
      </c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</row>
    <row r="694" spans="1:80" ht="16.149999999999999" customHeight="1" x14ac:dyDescent="0.25">
      <c r="A694" s="16"/>
      <c r="B694" s="16"/>
      <c r="C694" s="16"/>
      <c r="D694" s="16"/>
      <c r="E694" s="16"/>
      <c r="F694" s="16"/>
      <c r="G694" s="17"/>
      <c r="H694" s="17"/>
      <c r="I694" s="17"/>
      <c r="J694" s="17"/>
      <c r="K694" s="17"/>
      <c r="L694" s="18" t="s">
        <v>1110</v>
      </c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</row>
    <row r="695" spans="1:80" ht="16.149999999999999" customHeight="1" x14ac:dyDescent="0.25">
      <c r="A695" s="16"/>
      <c r="B695" s="16"/>
      <c r="C695" s="16"/>
      <c r="D695" s="16"/>
      <c r="E695" s="16"/>
      <c r="F695" s="16"/>
      <c r="G695" s="17"/>
      <c r="H695" s="17"/>
      <c r="I695" s="17"/>
      <c r="J695" s="17"/>
      <c r="K695" s="17"/>
      <c r="L695" s="18" t="s">
        <v>1111</v>
      </c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</row>
    <row r="696" spans="1:80" ht="16.149999999999999" customHeight="1" x14ac:dyDescent="0.25">
      <c r="A696" s="16"/>
      <c r="B696" s="16"/>
      <c r="C696" s="16"/>
      <c r="D696" s="16"/>
      <c r="E696" s="16"/>
      <c r="F696" s="16"/>
      <c r="G696" s="17"/>
      <c r="H696" s="17"/>
      <c r="I696" s="17"/>
      <c r="J696" s="17"/>
      <c r="K696" s="17"/>
      <c r="L696" s="18" t="s">
        <v>1112</v>
      </c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</row>
    <row r="697" spans="1:80" ht="16.149999999999999" customHeight="1" x14ac:dyDescent="0.25">
      <c r="A697" s="16"/>
      <c r="B697" s="16"/>
      <c r="C697" s="16"/>
      <c r="D697" s="16"/>
      <c r="E697" s="16"/>
      <c r="F697" s="16"/>
      <c r="G697" s="17"/>
      <c r="H697" s="17"/>
      <c r="I697" s="17"/>
      <c r="J697" s="17"/>
      <c r="K697" s="17"/>
      <c r="L697" s="18" t="s">
        <v>1113</v>
      </c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</row>
    <row r="698" spans="1:80" ht="16.149999999999999" customHeight="1" x14ac:dyDescent="0.25">
      <c r="A698" s="16"/>
      <c r="B698" s="16"/>
      <c r="C698" s="16"/>
      <c r="D698" s="16"/>
      <c r="E698" s="16"/>
      <c r="F698" s="16"/>
      <c r="G698" s="17"/>
      <c r="H698" s="17"/>
      <c r="I698" s="17"/>
      <c r="J698" s="17"/>
      <c r="K698" s="17"/>
      <c r="L698" s="18" t="s">
        <v>1114</v>
      </c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</row>
    <row r="699" spans="1:80" ht="16.149999999999999" customHeight="1" x14ac:dyDescent="0.25">
      <c r="A699" s="16"/>
      <c r="B699" s="16"/>
      <c r="C699" s="16"/>
      <c r="D699" s="16"/>
      <c r="E699" s="16"/>
      <c r="F699" s="16"/>
      <c r="G699" s="17"/>
      <c r="H699" s="17"/>
      <c r="I699" s="17"/>
      <c r="J699" s="17"/>
      <c r="K699" s="17"/>
      <c r="L699" s="18" t="s">
        <v>1115</v>
      </c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</row>
    <row r="700" spans="1:80" ht="16.149999999999999" customHeight="1" x14ac:dyDescent="0.25">
      <c r="A700" s="16"/>
      <c r="B700" s="16"/>
      <c r="C700" s="16"/>
      <c r="D700" s="16"/>
      <c r="E700" s="16"/>
      <c r="F700" s="16"/>
      <c r="G700" s="17"/>
      <c r="H700" s="17"/>
      <c r="I700" s="17"/>
      <c r="J700" s="17"/>
      <c r="K700" s="17"/>
      <c r="L700" s="18" t="s">
        <v>1116</v>
      </c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</row>
    <row r="701" spans="1:80" ht="16.149999999999999" customHeight="1" x14ac:dyDescent="0.25">
      <c r="A701" s="16"/>
      <c r="B701" s="16"/>
      <c r="C701" s="16"/>
      <c r="D701" s="16"/>
      <c r="E701" s="16"/>
      <c r="F701" s="16"/>
      <c r="G701" s="17"/>
      <c r="H701" s="17"/>
      <c r="I701" s="17"/>
      <c r="J701" s="17"/>
      <c r="K701" s="17"/>
      <c r="L701" s="18" t="s">
        <v>1117</v>
      </c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</row>
    <row r="702" spans="1:80" ht="16.149999999999999" customHeight="1" x14ac:dyDescent="0.25">
      <c r="A702" s="16"/>
      <c r="B702" s="16"/>
      <c r="C702" s="16"/>
      <c r="D702" s="16"/>
      <c r="E702" s="16"/>
      <c r="F702" s="16"/>
      <c r="G702" s="17"/>
      <c r="H702" s="17"/>
      <c r="I702" s="17"/>
      <c r="J702" s="17"/>
      <c r="K702" s="17"/>
      <c r="L702" s="18" t="s">
        <v>1118</v>
      </c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</row>
    <row r="703" spans="1:80" ht="16.149999999999999" customHeight="1" x14ac:dyDescent="0.25">
      <c r="A703" s="16"/>
      <c r="B703" s="16"/>
      <c r="C703" s="16"/>
      <c r="D703" s="16"/>
      <c r="E703" s="16"/>
      <c r="F703" s="16"/>
      <c r="G703" s="17"/>
      <c r="H703" s="17"/>
      <c r="I703" s="17"/>
      <c r="J703" s="17"/>
      <c r="K703" s="17"/>
      <c r="L703" s="18" t="s">
        <v>1119</v>
      </c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</row>
    <row r="704" spans="1:80" ht="16.149999999999999" customHeight="1" x14ac:dyDescent="0.25">
      <c r="A704" s="16"/>
      <c r="B704" s="16"/>
      <c r="C704" s="16"/>
      <c r="D704" s="16"/>
      <c r="E704" s="16"/>
      <c r="F704" s="16"/>
      <c r="G704" s="17"/>
      <c r="H704" s="17"/>
      <c r="I704" s="17"/>
      <c r="J704" s="17"/>
      <c r="K704" s="17"/>
      <c r="L704" s="18" t="s">
        <v>1120</v>
      </c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</row>
    <row r="705" spans="1:80" ht="16.149999999999999" customHeight="1" x14ac:dyDescent="0.25">
      <c r="A705" s="16"/>
      <c r="B705" s="16"/>
      <c r="C705" s="16"/>
      <c r="D705" s="16"/>
      <c r="E705" s="16"/>
      <c r="F705" s="16"/>
      <c r="G705" s="17"/>
      <c r="H705" s="17"/>
      <c r="I705" s="17"/>
      <c r="J705" s="17"/>
      <c r="K705" s="17"/>
      <c r="L705" s="18" t="s">
        <v>1121</v>
      </c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</row>
    <row r="706" spans="1:80" ht="16.149999999999999" customHeight="1" x14ac:dyDescent="0.25">
      <c r="A706" s="16"/>
      <c r="B706" s="16"/>
      <c r="C706" s="16"/>
      <c r="D706" s="16"/>
      <c r="E706" s="16"/>
      <c r="F706" s="16"/>
      <c r="G706" s="17"/>
      <c r="H706" s="17"/>
      <c r="I706" s="17"/>
      <c r="J706" s="17"/>
      <c r="K706" s="17"/>
      <c r="L706" s="18" t="s">
        <v>1122</v>
      </c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</row>
    <row r="707" spans="1:80" ht="16.149999999999999" customHeight="1" x14ac:dyDescent="0.25">
      <c r="A707" s="16"/>
      <c r="B707" s="16"/>
      <c r="C707" s="16"/>
      <c r="D707" s="16"/>
      <c r="E707" s="16"/>
      <c r="F707" s="16"/>
      <c r="G707" s="17"/>
      <c r="H707" s="17"/>
      <c r="I707" s="17"/>
      <c r="J707" s="17"/>
      <c r="K707" s="17"/>
      <c r="L707" s="18" t="s">
        <v>1123</v>
      </c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</row>
    <row r="708" spans="1:80" ht="16.149999999999999" customHeight="1" x14ac:dyDescent="0.25">
      <c r="A708" s="16"/>
      <c r="B708" s="16"/>
      <c r="C708" s="16"/>
      <c r="D708" s="16"/>
      <c r="E708" s="16"/>
      <c r="F708" s="16"/>
      <c r="G708" s="17"/>
      <c r="H708" s="17"/>
      <c r="I708" s="17"/>
      <c r="J708" s="17"/>
      <c r="K708" s="17"/>
      <c r="L708" s="18" t="s">
        <v>1124</v>
      </c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</row>
    <row r="709" spans="1:80" ht="16.149999999999999" customHeight="1" x14ac:dyDescent="0.25">
      <c r="A709" s="16"/>
      <c r="B709" s="16"/>
      <c r="C709" s="16"/>
      <c r="D709" s="16"/>
      <c r="E709" s="16"/>
      <c r="F709" s="16"/>
      <c r="G709" s="17"/>
      <c r="H709" s="17"/>
      <c r="I709" s="17"/>
      <c r="J709" s="17"/>
      <c r="K709" s="17"/>
      <c r="L709" s="18" t="s">
        <v>1125</v>
      </c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</row>
    <row r="710" spans="1:80" ht="16.149999999999999" customHeight="1" x14ac:dyDescent="0.25">
      <c r="A710" s="16"/>
      <c r="B710" s="16"/>
      <c r="C710" s="16"/>
      <c r="D710" s="16"/>
      <c r="E710" s="16"/>
      <c r="F710" s="16"/>
      <c r="G710" s="17"/>
      <c r="H710" s="17"/>
      <c r="I710" s="17"/>
      <c r="J710" s="17"/>
      <c r="K710" s="17"/>
      <c r="L710" s="18" t="s">
        <v>1126</v>
      </c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</row>
    <row r="711" spans="1:80" ht="16.149999999999999" customHeight="1" x14ac:dyDescent="0.25">
      <c r="A711" s="16"/>
      <c r="B711" s="16"/>
      <c r="C711" s="16"/>
      <c r="D711" s="16"/>
      <c r="E711" s="16"/>
      <c r="F711" s="16"/>
      <c r="G711" s="17"/>
      <c r="H711" s="17"/>
      <c r="I711" s="17"/>
      <c r="J711" s="17"/>
      <c r="K711" s="17"/>
      <c r="L711" s="18" t="s">
        <v>1127</v>
      </c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</row>
    <row r="712" spans="1:80" ht="16.149999999999999" customHeight="1" x14ac:dyDescent="0.25">
      <c r="A712" s="16"/>
      <c r="B712" s="16"/>
      <c r="C712" s="16"/>
      <c r="D712" s="16"/>
      <c r="E712" s="16"/>
      <c r="F712" s="16"/>
      <c r="G712" s="17"/>
      <c r="H712" s="17"/>
      <c r="I712" s="17"/>
      <c r="J712" s="17"/>
      <c r="K712" s="17"/>
      <c r="L712" s="18" t="s">
        <v>1128</v>
      </c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</row>
    <row r="713" spans="1:80" ht="16.149999999999999" customHeight="1" x14ac:dyDescent="0.25">
      <c r="A713" s="16"/>
      <c r="B713" s="16"/>
      <c r="C713" s="16"/>
      <c r="D713" s="16"/>
      <c r="E713" s="16"/>
      <c r="F713" s="16"/>
      <c r="G713" s="17"/>
      <c r="H713" s="17"/>
      <c r="I713" s="17"/>
      <c r="J713" s="17"/>
      <c r="K713" s="17"/>
      <c r="L713" s="18" t="s">
        <v>1129</v>
      </c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</row>
    <row r="714" spans="1:80" ht="16.149999999999999" customHeight="1" x14ac:dyDescent="0.25">
      <c r="A714" s="16"/>
      <c r="B714" s="16"/>
      <c r="C714" s="16"/>
      <c r="D714" s="16"/>
      <c r="E714" s="16"/>
      <c r="F714" s="16"/>
      <c r="G714" s="17"/>
      <c r="H714" s="17"/>
      <c r="I714" s="17"/>
      <c r="J714" s="17"/>
      <c r="K714" s="17"/>
      <c r="L714" s="18" t="s">
        <v>1130</v>
      </c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</row>
    <row r="715" spans="1:80" ht="16.149999999999999" customHeight="1" x14ac:dyDescent="0.25">
      <c r="A715" s="16"/>
      <c r="B715" s="16"/>
      <c r="C715" s="16"/>
      <c r="D715" s="16"/>
      <c r="E715" s="16"/>
      <c r="F715" s="16"/>
      <c r="G715" s="17"/>
      <c r="H715" s="17"/>
      <c r="I715" s="17"/>
      <c r="J715" s="17"/>
      <c r="K715" s="17"/>
      <c r="L715" s="18" t="s">
        <v>1131</v>
      </c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</row>
    <row r="716" spans="1:80" ht="16.149999999999999" customHeight="1" x14ac:dyDescent="0.25">
      <c r="A716" s="16"/>
      <c r="B716" s="16"/>
      <c r="C716" s="16"/>
      <c r="D716" s="16"/>
      <c r="E716" s="16"/>
      <c r="F716" s="16"/>
      <c r="G716" s="17"/>
      <c r="H716" s="17"/>
      <c r="I716" s="17"/>
      <c r="J716" s="17"/>
      <c r="K716" s="17"/>
      <c r="L716" s="18" t="s">
        <v>1132</v>
      </c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</row>
    <row r="717" spans="1:80" ht="16.149999999999999" customHeight="1" x14ac:dyDescent="0.25">
      <c r="A717" s="16"/>
      <c r="B717" s="16"/>
      <c r="C717" s="16"/>
      <c r="D717" s="16"/>
      <c r="E717" s="16"/>
      <c r="F717" s="16"/>
      <c r="G717" s="17"/>
      <c r="H717" s="17"/>
      <c r="I717" s="17"/>
      <c r="J717" s="17"/>
      <c r="K717" s="17"/>
      <c r="L717" s="18" t="s">
        <v>1133</v>
      </c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</row>
    <row r="718" spans="1:80" ht="16.149999999999999" customHeight="1" x14ac:dyDescent="0.25">
      <c r="A718" s="16"/>
      <c r="B718" s="16"/>
      <c r="C718" s="16"/>
      <c r="D718" s="16"/>
      <c r="E718" s="16"/>
      <c r="F718" s="16"/>
      <c r="G718" s="17"/>
      <c r="H718" s="17"/>
      <c r="I718" s="17"/>
      <c r="J718" s="17"/>
      <c r="K718" s="17"/>
      <c r="L718" s="18" t="s">
        <v>1134</v>
      </c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</row>
    <row r="719" spans="1:80" ht="16.149999999999999" customHeight="1" x14ac:dyDescent="0.25">
      <c r="A719" s="16"/>
      <c r="B719" s="16"/>
      <c r="C719" s="16"/>
      <c r="D719" s="16"/>
      <c r="E719" s="16"/>
      <c r="F719" s="16"/>
      <c r="G719" s="17"/>
      <c r="H719" s="17"/>
      <c r="I719" s="17"/>
      <c r="J719" s="17"/>
      <c r="K719" s="17"/>
      <c r="L719" s="18" t="s">
        <v>1135</v>
      </c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</row>
    <row r="720" spans="1:80" ht="16.149999999999999" customHeight="1" x14ac:dyDescent="0.25">
      <c r="A720" s="16"/>
      <c r="B720" s="16"/>
      <c r="C720" s="16"/>
      <c r="D720" s="16"/>
      <c r="E720" s="16"/>
      <c r="F720" s="16"/>
      <c r="G720" s="17"/>
      <c r="H720" s="17"/>
      <c r="I720" s="17"/>
      <c r="J720" s="17"/>
      <c r="K720" s="17"/>
      <c r="L720" s="18" t="s">
        <v>1136</v>
      </c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</row>
    <row r="721" spans="1:80" ht="16.149999999999999" customHeight="1" x14ac:dyDescent="0.25">
      <c r="A721" s="16"/>
      <c r="B721" s="16"/>
      <c r="C721" s="16"/>
      <c r="D721" s="16"/>
      <c r="E721" s="16"/>
      <c r="F721" s="16"/>
      <c r="G721" s="17"/>
      <c r="H721" s="17"/>
      <c r="I721" s="17"/>
      <c r="J721" s="17"/>
      <c r="K721" s="17"/>
      <c r="L721" s="18" t="s">
        <v>1137</v>
      </c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</row>
    <row r="722" spans="1:80" ht="16.149999999999999" customHeight="1" x14ac:dyDescent="0.25">
      <c r="A722" s="16"/>
      <c r="B722" s="16"/>
      <c r="C722" s="16"/>
      <c r="D722" s="16"/>
      <c r="E722" s="16"/>
      <c r="F722" s="16"/>
      <c r="G722" s="17"/>
      <c r="H722" s="17"/>
      <c r="I722" s="17"/>
      <c r="J722" s="17"/>
      <c r="K722" s="17"/>
      <c r="L722" s="18" t="s">
        <v>1138</v>
      </c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</row>
    <row r="723" spans="1:80" ht="16.149999999999999" customHeight="1" x14ac:dyDescent="0.25">
      <c r="A723" s="16"/>
      <c r="B723" s="16"/>
      <c r="C723" s="16"/>
      <c r="D723" s="16"/>
      <c r="E723" s="16"/>
      <c r="F723" s="16"/>
      <c r="G723" s="17"/>
      <c r="H723" s="17"/>
      <c r="I723" s="17"/>
      <c r="J723" s="17"/>
      <c r="K723" s="17"/>
      <c r="L723" s="18" t="s">
        <v>1139</v>
      </c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</row>
    <row r="724" spans="1:80" ht="16.149999999999999" customHeight="1" x14ac:dyDescent="0.25">
      <c r="A724" s="16"/>
      <c r="B724" s="16"/>
      <c r="C724" s="16"/>
      <c r="D724" s="16"/>
      <c r="E724" s="16"/>
      <c r="F724" s="16"/>
      <c r="G724" s="17"/>
      <c r="H724" s="17"/>
      <c r="I724" s="17"/>
      <c r="J724" s="17"/>
      <c r="K724" s="17"/>
      <c r="L724" s="18" t="s">
        <v>1140</v>
      </c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</row>
    <row r="725" spans="1:80" ht="16.149999999999999" customHeight="1" x14ac:dyDescent="0.25">
      <c r="A725" s="16"/>
      <c r="B725" s="16"/>
      <c r="C725" s="16"/>
      <c r="D725" s="16"/>
      <c r="E725" s="16"/>
      <c r="F725" s="16"/>
      <c r="G725" s="17"/>
      <c r="H725" s="17"/>
      <c r="I725" s="17"/>
      <c r="J725" s="17"/>
      <c r="K725" s="17"/>
      <c r="L725" s="18" t="s">
        <v>1141</v>
      </c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</row>
    <row r="726" spans="1:80" ht="16.149999999999999" customHeight="1" x14ac:dyDescent="0.25">
      <c r="A726" s="16"/>
      <c r="B726" s="16"/>
      <c r="C726" s="16"/>
      <c r="D726" s="16"/>
      <c r="E726" s="16"/>
      <c r="F726" s="16"/>
      <c r="G726" s="17"/>
      <c r="H726" s="17"/>
      <c r="I726" s="17"/>
      <c r="J726" s="17"/>
      <c r="K726" s="17"/>
      <c r="L726" s="18" t="s">
        <v>1142</v>
      </c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</row>
    <row r="727" spans="1:80" ht="16.149999999999999" customHeight="1" x14ac:dyDescent="0.25">
      <c r="A727" s="16"/>
      <c r="B727" s="16"/>
      <c r="C727" s="16"/>
      <c r="D727" s="16"/>
      <c r="E727" s="16"/>
      <c r="F727" s="16"/>
      <c r="G727" s="17"/>
      <c r="H727" s="17"/>
      <c r="I727" s="17"/>
      <c r="J727" s="17"/>
      <c r="K727" s="17"/>
      <c r="L727" s="18" t="s">
        <v>1143</v>
      </c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</row>
    <row r="728" spans="1:80" ht="16.149999999999999" customHeight="1" x14ac:dyDescent="0.25">
      <c r="A728" s="16"/>
      <c r="B728" s="16"/>
      <c r="C728" s="16"/>
      <c r="D728" s="16"/>
      <c r="E728" s="16"/>
      <c r="F728" s="16"/>
      <c r="G728" s="17"/>
      <c r="H728" s="17"/>
      <c r="I728" s="17"/>
      <c r="J728" s="17"/>
      <c r="K728" s="17"/>
      <c r="L728" s="18" t="s">
        <v>1144</v>
      </c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</row>
    <row r="729" spans="1:80" ht="16.149999999999999" customHeight="1" x14ac:dyDescent="0.25">
      <c r="A729" s="16"/>
      <c r="B729" s="16"/>
      <c r="C729" s="16"/>
      <c r="D729" s="16"/>
      <c r="E729" s="16"/>
      <c r="F729" s="16"/>
      <c r="G729" s="17"/>
      <c r="H729" s="17"/>
      <c r="I729" s="17"/>
      <c r="J729" s="17"/>
      <c r="K729" s="17"/>
      <c r="L729" s="18" t="s">
        <v>1145</v>
      </c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</row>
    <row r="730" spans="1:80" ht="16.149999999999999" customHeight="1" x14ac:dyDescent="0.25">
      <c r="A730" s="16"/>
      <c r="B730" s="16"/>
      <c r="C730" s="16"/>
      <c r="D730" s="16"/>
      <c r="E730" s="16"/>
      <c r="F730" s="16"/>
      <c r="G730" s="17"/>
      <c r="H730" s="17"/>
      <c r="I730" s="17"/>
      <c r="J730" s="17"/>
      <c r="K730" s="17"/>
      <c r="L730" s="18" t="s">
        <v>1146</v>
      </c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</row>
    <row r="731" spans="1:80" ht="16.149999999999999" customHeight="1" x14ac:dyDescent="0.25">
      <c r="A731" s="16"/>
      <c r="B731" s="16"/>
      <c r="C731" s="16"/>
      <c r="D731" s="16"/>
      <c r="E731" s="16"/>
      <c r="F731" s="16"/>
      <c r="G731" s="17"/>
      <c r="H731" s="17"/>
      <c r="I731" s="17"/>
      <c r="J731" s="17"/>
      <c r="K731" s="17"/>
      <c r="L731" s="18" t="s">
        <v>1147</v>
      </c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</row>
    <row r="732" spans="1:80" ht="16.149999999999999" customHeight="1" x14ac:dyDescent="0.25">
      <c r="A732" s="16"/>
      <c r="B732" s="16"/>
      <c r="C732" s="16"/>
      <c r="D732" s="16"/>
      <c r="E732" s="16"/>
      <c r="F732" s="16"/>
      <c r="G732" s="17"/>
      <c r="H732" s="17"/>
      <c r="I732" s="17"/>
      <c r="J732" s="17"/>
      <c r="K732" s="17"/>
      <c r="L732" s="18" t="s">
        <v>1148</v>
      </c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</row>
    <row r="733" spans="1:80" ht="16.149999999999999" customHeight="1" x14ac:dyDescent="0.25">
      <c r="A733" s="16"/>
      <c r="B733" s="16"/>
      <c r="C733" s="16"/>
      <c r="D733" s="16"/>
      <c r="E733" s="16"/>
      <c r="F733" s="16"/>
      <c r="G733" s="17"/>
      <c r="H733" s="17"/>
      <c r="I733" s="17"/>
      <c r="J733" s="17"/>
      <c r="K733" s="17"/>
      <c r="L733" s="18" t="s">
        <v>1149</v>
      </c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</row>
    <row r="734" spans="1:80" ht="16.149999999999999" customHeight="1" x14ac:dyDescent="0.25">
      <c r="A734" s="16"/>
      <c r="B734" s="16"/>
      <c r="C734" s="16"/>
      <c r="D734" s="16"/>
      <c r="E734" s="16"/>
      <c r="F734" s="16"/>
      <c r="G734" s="17"/>
      <c r="H734" s="17"/>
      <c r="I734" s="17"/>
      <c r="J734" s="17"/>
      <c r="K734" s="17"/>
      <c r="L734" s="18" t="s">
        <v>1150</v>
      </c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</row>
    <row r="735" spans="1:80" ht="16.149999999999999" customHeight="1" x14ac:dyDescent="0.25">
      <c r="A735" s="16"/>
      <c r="B735" s="16"/>
      <c r="C735" s="16"/>
      <c r="D735" s="16"/>
      <c r="E735" s="16"/>
      <c r="F735" s="16"/>
      <c r="G735" s="17"/>
      <c r="H735" s="17"/>
      <c r="I735" s="17"/>
      <c r="J735" s="17"/>
      <c r="K735" s="17"/>
      <c r="L735" s="18" t="s">
        <v>1151</v>
      </c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</row>
    <row r="736" spans="1:80" ht="16.149999999999999" customHeight="1" x14ac:dyDescent="0.25">
      <c r="A736" s="16"/>
      <c r="B736" s="16"/>
      <c r="C736" s="16"/>
      <c r="D736" s="16"/>
      <c r="E736" s="16"/>
      <c r="F736" s="16"/>
      <c r="G736" s="17"/>
      <c r="H736" s="17"/>
      <c r="I736" s="17"/>
      <c r="J736" s="17"/>
      <c r="K736" s="17"/>
      <c r="L736" s="18" t="s">
        <v>1152</v>
      </c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</row>
    <row r="737" spans="1:80" ht="16.149999999999999" customHeight="1" x14ac:dyDescent="0.25">
      <c r="A737" s="16"/>
      <c r="B737" s="16"/>
      <c r="C737" s="16"/>
      <c r="D737" s="16"/>
      <c r="E737" s="16"/>
      <c r="F737" s="16"/>
      <c r="G737" s="17"/>
      <c r="H737" s="17"/>
      <c r="I737" s="17"/>
      <c r="J737" s="17"/>
      <c r="K737" s="17"/>
      <c r="L737" s="18" t="s">
        <v>1153</v>
      </c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</row>
    <row r="738" spans="1:80" ht="16.149999999999999" customHeight="1" x14ac:dyDescent="0.25">
      <c r="A738" s="16"/>
      <c r="B738" s="16"/>
      <c r="C738" s="16"/>
      <c r="D738" s="16"/>
      <c r="E738" s="16"/>
      <c r="F738" s="16"/>
      <c r="G738" s="17"/>
      <c r="H738" s="17"/>
      <c r="I738" s="17"/>
      <c r="J738" s="17"/>
      <c r="K738" s="17"/>
      <c r="L738" s="18" t="s">
        <v>1154</v>
      </c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</row>
    <row r="739" spans="1:80" ht="16.149999999999999" customHeight="1" x14ac:dyDescent="0.25">
      <c r="A739" s="16"/>
      <c r="B739" s="16"/>
      <c r="C739" s="16"/>
      <c r="D739" s="16"/>
      <c r="E739" s="16"/>
      <c r="F739" s="16"/>
      <c r="G739" s="17"/>
      <c r="H739" s="17"/>
      <c r="I739" s="17"/>
      <c r="J739" s="17"/>
      <c r="K739" s="17"/>
      <c r="L739" s="18" t="s">
        <v>1155</v>
      </c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</row>
    <row r="740" spans="1:80" ht="16.149999999999999" customHeight="1" x14ac:dyDescent="0.25">
      <c r="A740" s="16"/>
      <c r="B740" s="16"/>
      <c r="C740" s="16"/>
      <c r="D740" s="16"/>
      <c r="E740" s="16"/>
      <c r="F740" s="16"/>
      <c r="G740" s="17"/>
      <c r="H740" s="17"/>
      <c r="I740" s="17"/>
      <c r="J740" s="17"/>
      <c r="K740" s="17"/>
      <c r="L740" s="18" t="s">
        <v>1156</v>
      </c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</row>
    <row r="741" spans="1:80" ht="16.149999999999999" customHeight="1" x14ac:dyDescent="0.25">
      <c r="A741" s="16"/>
      <c r="B741" s="16"/>
      <c r="C741" s="16"/>
      <c r="D741" s="16"/>
      <c r="E741" s="16"/>
      <c r="F741" s="16"/>
      <c r="G741" s="17"/>
      <c r="H741" s="17"/>
      <c r="I741" s="17"/>
      <c r="J741" s="17"/>
      <c r="K741" s="17"/>
      <c r="L741" s="18" t="s">
        <v>1157</v>
      </c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</row>
    <row r="742" spans="1:80" ht="16.149999999999999" customHeight="1" x14ac:dyDescent="0.25">
      <c r="A742" s="16"/>
      <c r="B742" s="16"/>
      <c r="C742" s="16"/>
      <c r="D742" s="16"/>
      <c r="E742" s="16"/>
      <c r="F742" s="16"/>
      <c r="G742" s="17"/>
      <c r="H742" s="17"/>
      <c r="I742" s="17"/>
      <c r="J742" s="17"/>
      <c r="K742" s="17"/>
      <c r="L742" s="18" t="s">
        <v>1158</v>
      </c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</row>
    <row r="743" spans="1:80" ht="16.149999999999999" customHeight="1" x14ac:dyDescent="0.25">
      <c r="A743" s="16"/>
      <c r="B743" s="16"/>
      <c r="C743" s="16"/>
      <c r="D743" s="16"/>
      <c r="E743" s="16"/>
      <c r="F743" s="16"/>
      <c r="G743" s="17"/>
      <c r="H743" s="17"/>
      <c r="I743" s="17"/>
      <c r="J743" s="17"/>
      <c r="K743" s="17"/>
      <c r="L743" s="18" t="s">
        <v>1159</v>
      </c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</row>
    <row r="744" spans="1:80" ht="16.149999999999999" customHeight="1" x14ac:dyDescent="0.25">
      <c r="A744" s="16"/>
      <c r="B744" s="16"/>
      <c r="C744" s="16"/>
      <c r="D744" s="16"/>
      <c r="E744" s="16"/>
      <c r="F744" s="16"/>
      <c r="G744" s="17"/>
      <c r="H744" s="17"/>
      <c r="I744" s="17"/>
      <c r="J744" s="17"/>
      <c r="K744" s="17"/>
      <c r="L744" s="18" t="s">
        <v>1160</v>
      </c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</row>
    <row r="745" spans="1:80" ht="16.149999999999999" customHeight="1" x14ac:dyDescent="0.25">
      <c r="A745" s="16"/>
      <c r="B745" s="16"/>
      <c r="C745" s="16"/>
      <c r="D745" s="16"/>
      <c r="E745" s="16"/>
      <c r="F745" s="16"/>
      <c r="G745" s="17"/>
      <c r="H745" s="17"/>
      <c r="I745" s="17"/>
      <c r="J745" s="17"/>
      <c r="K745" s="17"/>
      <c r="L745" s="18" t="s">
        <v>1161</v>
      </c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</row>
    <row r="746" spans="1:80" ht="16.149999999999999" customHeight="1" x14ac:dyDescent="0.25">
      <c r="A746" s="16"/>
      <c r="B746" s="16"/>
      <c r="C746" s="16"/>
      <c r="D746" s="16"/>
      <c r="E746" s="16"/>
      <c r="F746" s="16"/>
      <c r="G746" s="17"/>
      <c r="H746" s="17"/>
      <c r="I746" s="17"/>
      <c r="J746" s="17"/>
      <c r="K746" s="17"/>
      <c r="L746" s="18" t="s">
        <v>1162</v>
      </c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</row>
    <row r="747" spans="1:80" ht="16.149999999999999" customHeight="1" x14ac:dyDescent="0.25">
      <c r="A747" s="16"/>
      <c r="B747" s="16"/>
      <c r="C747" s="16"/>
      <c r="D747" s="16"/>
      <c r="E747" s="16"/>
      <c r="F747" s="16"/>
      <c r="G747" s="17"/>
      <c r="H747" s="17"/>
      <c r="I747" s="17"/>
      <c r="J747" s="17"/>
      <c r="K747" s="17"/>
      <c r="L747" s="18" t="s">
        <v>1163</v>
      </c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</row>
    <row r="748" spans="1:80" ht="16.149999999999999" customHeight="1" x14ac:dyDescent="0.25">
      <c r="A748" s="16"/>
      <c r="B748" s="16"/>
      <c r="C748" s="16"/>
      <c r="D748" s="16"/>
      <c r="E748" s="16"/>
      <c r="F748" s="16"/>
      <c r="G748" s="17"/>
      <c r="H748" s="17"/>
      <c r="I748" s="17"/>
      <c r="J748" s="17"/>
      <c r="K748" s="17"/>
      <c r="L748" s="18" t="s">
        <v>1164</v>
      </c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</row>
    <row r="749" spans="1:80" ht="16.149999999999999" customHeight="1" x14ac:dyDescent="0.25">
      <c r="A749" s="16"/>
      <c r="B749" s="16"/>
      <c r="C749" s="16"/>
      <c r="D749" s="16"/>
      <c r="E749" s="16"/>
      <c r="F749" s="16"/>
      <c r="G749" s="17"/>
      <c r="H749" s="17"/>
      <c r="I749" s="17"/>
      <c r="J749" s="17"/>
      <c r="K749" s="17"/>
      <c r="L749" s="18" t="s">
        <v>1165</v>
      </c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</row>
    <row r="750" spans="1:80" ht="16.149999999999999" customHeight="1" x14ac:dyDescent="0.25">
      <c r="A750" s="16"/>
      <c r="B750" s="16"/>
      <c r="C750" s="16"/>
      <c r="D750" s="16"/>
      <c r="E750" s="16"/>
      <c r="F750" s="16"/>
      <c r="G750" s="17"/>
      <c r="H750" s="17"/>
      <c r="I750" s="17"/>
      <c r="J750" s="17"/>
      <c r="K750" s="17"/>
      <c r="L750" s="18" t="s">
        <v>1166</v>
      </c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</row>
    <row r="751" spans="1:80" ht="16.149999999999999" customHeight="1" x14ac:dyDescent="0.25">
      <c r="A751" s="16"/>
      <c r="B751" s="16"/>
      <c r="C751" s="16"/>
      <c r="D751" s="16"/>
      <c r="E751" s="16"/>
      <c r="F751" s="16"/>
      <c r="G751" s="17"/>
      <c r="H751" s="17"/>
      <c r="I751" s="17"/>
      <c r="J751" s="17"/>
      <c r="K751" s="17"/>
      <c r="L751" s="18" t="s">
        <v>1167</v>
      </c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</row>
    <row r="752" spans="1:80" ht="16.149999999999999" customHeight="1" x14ac:dyDescent="0.25">
      <c r="A752" s="16"/>
      <c r="B752" s="16"/>
      <c r="C752" s="16"/>
      <c r="D752" s="16"/>
      <c r="E752" s="16"/>
      <c r="F752" s="16"/>
      <c r="G752" s="17"/>
      <c r="H752" s="17"/>
      <c r="I752" s="17"/>
      <c r="J752" s="17"/>
      <c r="K752" s="17"/>
      <c r="L752" s="18" t="s">
        <v>1168</v>
      </c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</row>
    <row r="753" spans="1:80" ht="16.149999999999999" customHeight="1" x14ac:dyDescent="0.25">
      <c r="A753" s="16"/>
      <c r="B753" s="16"/>
      <c r="C753" s="16"/>
      <c r="D753" s="16"/>
      <c r="E753" s="16"/>
      <c r="F753" s="16"/>
      <c r="G753" s="17"/>
      <c r="H753" s="17"/>
      <c r="I753" s="17"/>
      <c r="J753" s="17"/>
      <c r="K753" s="17"/>
      <c r="L753" s="18" t="s">
        <v>1169</v>
      </c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</row>
    <row r="754" spans="1:80" ht="16.149999999999999" customHeight="1" x14ac:dyDescent="0.25">
      <c r="A754" s="16"/>
      <c r="B754" s="16"/>
      <c r="C754" s="16"/>
      <c r="D754" s="16"/>
      <c r="E754" s="16"/>
      <c r="F754" s="16"/>
      <c r="G754" s="17"/>
      <c r="H754" s="17"/>
      <c r="I754" s="17"/>
      <c r="J754" s="17"/>
      <c r="K754" s="17"/>
      <c r="L754" s="18" t="s">
        <v>1170</v>
      </c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</row>
    <row r="755" spans="1:80" ht="16.149999999999999" customHeight="1" x14ac:dyDescent="0.25">
      <c r="A755" s="16"/>
      <c r="B755" s="16"/>
      <c r="C755" s="16"/>
      <c r="D755" s="16"/>
      <c r="E755" s="16"/>
      <c r="F755" s="16"/>
      <c r="G755" s="17"/>
      <c r="H755" s="17"/>
      <c r="I755" s="17"/>
      <c r="J755" s="17"/>
      <c r="K755" s="17"/>
      <c r="L755" s="18" t="s">
        <v>1171</v>
      </c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</row>
    <row r="756" spans="1:80" ht="16.149999999999999" customHeight="1" x14ac:dyDescent="0.25">
      <c r="A756" s="16"/>
      <c r="B756" s="16"/>
      <c r="C756" s="16"/>
      <c r="D756" s="16"/>
      <c r="E756" s="16"/>
      <c r="F756" s="16"/>
      <c r="G756" s="17"/>
      <c r="H756" s="17"/>
      <c r="I756" s="17"/>
      <c r="J756" s="17"/>
      <c r="K756" s="17"/>
      <c r="L756" s="18" t="s">
        <v>1172</v>
      </c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</row>
    <row r="757" spans="1:80" ht="16.149999999999999" customHeight="1" x14ac:dyDescent="0.25">
      <c r="A757" s="16"/>
      <c r="B757" s="16"/>
      <c r="C757" s="16"/>
      <c r="D757" s="16"/>
      <c r="E757" s="16"/>
      <c r="F757" s="16"/>
      <c r="G757" s="17"/>
      <c r="H757" s="17"/>
      <c r="I757" s="17"/>
      <c r="J757" s="17"/>
      <c r="K757" s="17"/>
      <c r="L757" s="18" t="s">
        <v>1173</v>
      </c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</row>
    <row r="758" spans="1:80" ht="16.149999999999999" customHeight="1" x14ac:dyDescent="0.25">
      <c r="A758" s="16"/>
      <c r="B758" s="16"/>
      <c r="C758" s="16"/>
      <c r="D758" s="16"/>
      <c r="E758" s="16"/>
      <c r="F758" s="16"/>
      <c r="G758" s="17"/>
      <c r="H758" s="17"/>
      <c r="I758" s="17"/>
      <c r="J758" s="17"/>
      <c r="K758" s="17"/>
      <c r="L758" s="18" t="s">
        <v>1174</v>
      </c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</row>
    <row r="759" spans="1:80" ht="16.149999999999999" customHeight="1" x14ac:dyDescent="0.25">
      <c r="A759" s="16"/>
      <c r="B759" s="16"/>
      <c r="C759" s="16"/>
      <c r="D759" s="16"/>
      <c r="E759" s="16"/>
      <c r="F759" s="16"/>
      <c r="G759" s="17"/>
      <c r="H759" s="17"/>
      <c r="I759" s="17"/>
      <c r="J759" s="17"/>
      <c r="K759" s="17"/>
      <c r="L759" s="18" t="s">
        <v>1175</v>
      </c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</row>
    <row r="760" spans="1:80" ht="16.149999999999999" customHeight="1" x14ac:dyDescent="0.25">
      <c r="A760" s="16"/>
      <c r="B760" s="16"/>
      <c r="C760" s="16"/>
      <c r="D760" s="16"/>
      <c r="E760" s="16"/>
      <c r="F760" s="16"/>
      <c r="G760" s="17"/>
      <c r="H760" s="17"/>
      <c r="I760" s="17"/>
      <c r="J760" s="17"/>
      <c r="K760" s="17"/>
      <c r="L760" s="18" t="s">
        <v>1176</v>
      </c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</row>
    <row r="761" spans="1:80" ht="16.149999999999999" customHeight="1" x14ac:dyDescent="0.25">
      <c r="A761" s="16"/>
      <c r="B761" s="16"/>
      <c r="C761" s="16"/>
      <c r="D761" s="16"/>
      <c r="E761" s="16"/>
      <c r="F761" s="16"/>
      <c r="G761" s="17"/>
      <c r="H761" s="17"/>
      <c r="I761" s="17"/>
      <c r="J761" s="17"/>
      <c r="K761" s="17"/>
      <c r="L761" s="18" t="s">
        <v>1177</v>
      </c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</row>
    <row r="762" spans="1:80" ht="16.149999999999999" customHeight="1" x14ac:dyDescent="0.25">
      <c r="A762" s="16"/>
      <c r="B762" s="16"/>
      <c r="C762" s="16"/>
      <c r="D762" s="16"/>
      <c r="E762" s="16"/>
      <c r="F762" s="16"/>
      <c r="G762" s="17"/>
      <c r="H762" s="17"/>
      <c r="I762" s="17"/>
      <c r="J762" s="17"/>
      <c r="K762" s="17"/>
      <c r="L762" s="18" t="s">
        <v>1178</v>
      </c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</row>
    <row r="763" spans="1:80" ht="16.149999999999999" customHeight="1" x14ac:dyDescent="0.25">
      <c r="A763" s="16"/>
      <c r="B763" s="16"/>
      <c r="C763" s="16"/>
      <c r="D763" s="16"/>
      <c r="E763" s="16"/>
      <c r="F763" s="16"/>
      <c r="G763" s="17"/>
      <c r="H763" s="17"/>
      <c r="I763" s="17"/>
      <c r="J763" s="17"/>
      <c r="K763" s="17"/>
      <c r="L763" s="18" t="s">
        <v>1179</v>
      </c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</row>
    <row r="764" spans="1:80" ht="16.149999999999999" customHeight="1" x14ac:dyDescent="0.25">
      <c r="A764" s="16"/>
      <c r="B764" s="16"/>
      <c r="C764" s="16"/>
      <c r="D764" s="16"/>
      <c r="E764" s="16"/>
      <c r="F764" s="16"/>
      <c r="G764" s="17"/>
      <c r="H764" s="17"/>
      <c r="I764" s="17"/>
      <c r="J764" s="17"/>
      <c r="K764" s="17"/>
      <c r="L764" s="18" t="s">
        <v>1180</v>
      </c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</row>
    <row r="765" spans="1:80" ht="16.149999999999999" customHeight="1" x14ac:dyDescent="0.25">
      <c r="A765" s="16"/>
      <c r="B765" s="16"/>
      <c r="C765" s="16"/>
      <c r="D765" s="16"/>
      <c r="E765" s="16"/>
      <c r="F765" s="16"/>
      <c r="G765" s="17"/>
      <c r="H765" s="17"/>
      <c r="I765" s="17"/>
      <c r="J765" s="17"/>
      <c r="K765" s="17"/>
      <c r="L765" s="18" t="s">
        <v>1181</v>
      </c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</row>
    <row r="766" spans="1:80" ht="16.149999999999999" customHeight="1" x14ac:dyDescent="0.25">
      <c r="A766" s="16"/>
      <c r="B766" s="16"/>
      <c r="C766" s="16"/>
      <c r="D766" s="16"/>
      <c r="E766" s="16"/>
      <c r="F766" s="16"/>
      <c r="G766" s="17"/>
      <c r="H766" s="17"/>
      <c r="I766" s="17"/>
      <c r="J766" s="17"/>
      <c r="K766" s="17"/>
      <c r="L766" s="18" t="s">
        <v>1182</v>
      </c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</row>
    <row r="767" spans="1:80" ht="16.149999999999999" customHeight="1" x14ac:dyDescent="0.25">
      <c r="A767" s="16"/>
      <c r="B767" s="16"/>
      <c r="C767" s="16"/>
      <c r="D767" s="16"/>
      <c r="E767" s="16"/>
      <c r="F767" s="16"/>
      <c r="G767" s="17"/>
      <c r="H767" s="17"/>
      <c r="I767" s="17"/>
      <c r="J767" s="17"/>
      <c r="K767" s="17"/>
      <c r="L767" s="18" t="s">
        <v>1183</v>
      </c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</row>
    <row r="768" spans="1:80" ht="16.149999999999999" customHeight="1" x14ac:dyDescent="0.25">
      <c r="A768" s="16"/>
      <c r="B768" s="16"/>
      <c r="C768" s="16"/>
      <c r="D768" s="16"/>
      <c r="E768" s="16"/>
      <c r="F768" s="16"/>
      <c r="G768" s="17"/>
      <c r="H768" s="17"/>
      <c r="I768" s="17"/>
      <c r="J768" s="17"/>
      <c r="K768" s="17"/>
      <c r="L768" s="18" t="s">
        <v>1184</v>
      </c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</row>
    <row r="769" spans="1:80" ht="16.149999999999999" customHeight="1" x14ac:dyDescent="0.25">
      <c r="A769" s="16"/>
      <c r="B769" s="16"/>
      <c r="C769" s="16"/>
      <c r="D769" s="16"/>
      <c r="E769" s="16"/>
      <c r="F769" s="16"/>
      <c r="G769" s="17"/>
      <c r="H769" s="17"/>
      <c r="I769" s="17"/>
      <c r="J769" s="17"/>
      <c r="K769" s="17"/>
      <c r="L769" s="18" t="s">
        <v>1185</v>
      </c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</row>
    <row r="770" spans="1:80" ht="16.149999999999999" customHeight="1" x14ac:dyDescent="0.25">
      <c r="A770" s="16"/>
      <c r="B770" s="16"/>
      <c r="C770" s="16"/>
      <c r="D770" s="16"/>
      <c r="E770" s="16"/>
      <c r="F770" s="16"/>
      <c r="G770" s="17"/>
      <c r="H770" s="17"/>
      <c r="I770" s="17"/>
      <c r="J770" s="17"/>
      <c r="K770" s="17"/>
      <c r="L770" s="18" t="s">
        <v>1186</v>
      </c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</row>
    <row r="771" spans="1:80" ht="16.149999999999999" customHeight="1" x14ac:dyDescent="0.25">
      <c r="A771" s="16"/>
      <c r="B771" s="16"/>
      <c r="C771" s="16"/>
      <c r="D771" s="16"/>
      <c r="E771" s="16"/>
      <c r="F771" s="16"/>
      <c r="G771" s="17"/>
      <c r="H771" s="17"/>
      <c r="I771" s="17"/>
      <c r="J771" s="17"/>
      <c r="K771" s="17"/>
      <c r="L771" s="18" t="s">
        <v>1187</v>
      </c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</row>
    <row r="772" spans="1:80" ht="16.149999999999999" customHeight="1" x14ac:dyDescent="0.25">
      <c r="A772" s="16"/>
      <c r="B772" s="16"/>
      <c r="C772" s="16"/>
      <c r="D772" s="16"/>
      <c r="E772" s="16"/>
      <c r="F772" s="16"/>
      <c r="G772" s="17"/>
      <c r="H772" s="17"/>
      <c r="I772" s="17"/>
      <c r="J772" s="17"/>
      <c r="K772" s="17"/>
      <c r="L772" s="18" t="s">
        <v>1188</v>
      </c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</row>
    <row r="773" spans="1:80" ht="16.149999999999999" customHeight="1" x14ac:dyDescent="0.25">
      <c r="A773" s="16"/>
      <c r="B773" s="16"/>
      <c r="C773" s="16"/>
      <c r="D773" s="16"/>
      <c r="E773" s="16"/>
      <c r="F773" s="16"/>
      <c r="G773" s="17"/>
      <c r="H773" s="17"/>
      <c r="I773" s="17"/>
      <c r="J773" s="17"/>
      <c r="K773" s="17"/>
      <c r="L773" s="18" t="s">
        <v>1189</v>
      </c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</row>
    <row r="774" spans="1:80" ht="16.149999999999999" customHeight="1" x14ac:dyDescent="0.25">
      <c r="A774" s="16"/>
      <c r="B774" s="16"/>
      <c r="C774" s="16"/>
      <c r="D774" s="16"/>
      <c r="E774" s="16"/>
      <c r="F774" s="16"/>
      <c r="G774" s="17"/>
      <c r="H774" s="17"/>
      <c r="I774" s="17"/>
      <c r="J774" s="17"/>
      <c r="K774" s="17"/>
      <c r="L774" s="18" t="s">
        <v>1190</v>
      </c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</row>
    <row r="775" spans="1:80" ht="16.149999999999999" customHeight="1" x14ac:dyDescent="0.25">
      <c r="A775" s="16"/>
      <c r="B775" s="16"/>
      <c r="C775" s="16"/>
      <c r="D775" s="16"/>
      <c r="E775" s="16"/>
      <c r="F775" s="16"/>
      <c r="G775" s="17"/>
      <c r="H775" s="17"/>
      <c r="I775" s="17"/>
      <c r="J775" s="17"/>
      <c r="K775" s="17"/>
      <c r="L775" s="18" t="s">
        <v>1191</v>
      </c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</row>
    <row r="776" spans="1:80" ht="16.149999999999999" customHeight="1" x14ac:dyDescent="0.25">
      <c r="A776" s="16"/>
      <c r="B776" s="16"/>
      <c r="C776" s="16"/>
      <c r="D776" s="16"/>
      <c r="E776" s="16"/>
      <c r="F776" s="16"/>
      <c r="G776" s="17"/>
      <c r="H776" s="17"/>
      <c r="I776" s="17"/>
      <c r="J776" s="17"/>
      <c r="K776" s="17"/>
      <c r="L776" s="18" t="s">
        <v>1192</v>
      </c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</row>
    <row r="777" spans="1:80" ht="16.149999999999999" customHeight="1" x14ac:dyDescent="0.25">
      <c r="A777" s="16"/>
      <c r="B777" s="16"/>
      <c r="C777" s="16"/>
      <c r="D777" s="16"/>
      <c r="E777" s="16"/>
      <c r="F777" s="16"/>
      <c r="G777" s="17"/>
      <c r="H777" s="17"/>
      <c r="I777" s="17"/>
      <c r="J777" s="17"/>
      <c r="K777" s="17"/>
      <c r="L777" s="18" t="s">
        <v>1193</v>
      </c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</row>
    <row r="778" spans="1:80" ht="16.149999999999999" customHeight="1" x14ac:dyDescent="0.25">
      <c r="A778" s="16"/>
      <c r="B778" s="16"/>
      <c r="C778" s="16"/>
      <c r="D778" s="16"/>
      <c r="E778" s="16"/>
      <c r="F778" s="16"/>
      <c r="G778" s="17"/>
      <c r="H778" s="17"/>
      <c r="I778" s="17"/>
      <c r="J778" s="17"/>
      <c r="K778" s="17"/>
      <c r="L778" s="18" t="s">
        <v>1194</v>
      </c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</row>
    <row r="779" spans="1:80" ht="16.149999999999999" customHeight="1" x14ac:dyDescent="0.25">
      <c r="A779" s="16"/>
      <c r="B779" s="16"/>
      <c r="C779" s="16"/>
      <c r="D779" s="16"/>
      <c r="E779" s="16"/>
      <c r="F779" s="16"/>
      <c r="G779" s="17"/>
      <c r="H779" s="17"/>
      <c r="I779" s="17"/>
      <c r="J779" s="17"/>
      <c r="K779" s="17"/>
      <c r="L779" s="18" t="s">
        <v>1195</v>
      </c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</row>
    <row r="780" spans="1:80" ht="16.149999999999999" customHeight="1" x14ac:dyDescent="0.25">
      <c r="A780" s="16"/>
      <c r="B780" s="16"/>
      <c r="C780" s="16"/>
      <c r="D780" s="16"/>
      <c r="E780" s="16"/>
      <c r="F780" s="16"/>
      <c r="G780" s="17"/>
      <c r="H780" s="17"/>
      <c r="I780" s="17"/>
      <c r="J780" s="17"/>
      <c r="K780" s="17"/>
      <c r="L780" s="18" t="s">
        <v>1196</v>
      </c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</row>
    <row r="781" spans="1:80" ht="16.149999999999999" customHeight="1" x14ac:dyDescent="0.25">
      <c r="A781" s="16"/>
      <c r="B781" s="16"/>
      <c r="C781" s="16"/>
      <c r="D781" s="16"/>
      <c r="E781" s="16"/>
      <c r="F781" s="16"/>
      <c r="G781" s="17"/>
      <c r="H781" s="17"/>
      <c r="I781" s="17"/>
      <c r="J781" s="17"/>
      <c r="K781" s="17"/>
      <c r="L781" s="18" t="s">
        <v>1197</v>
      </c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</row>
    <row r="782" spans="1:80" ht="16.149999999999999" customHeight="1" x14ac:dyDescent="0.25">
      <c r="A782" s="16"/>
      <c r="B782" s="16"/>
      <c r="C782" s="16"/>
      <c r="D782" s="16"/>
      <c r="E782" s="16"/>
      <c r="F782" s="16"/>
      <c r="G782" s="17"/>
      <c r="H782" s="17"/>
      <c r="I782" s="17"/>
      <c r="J782" s="17"/>
      <c r="K782" s="17"/>
      <c r="L782" s="18" t="s">
        <v>1198</v>
      </c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</row>
    <row r="783" spans="1:80" ht="16.149999999999999" customHeight="1" x14ac:dyDescent="0.25">
      <c r="A783" s="16"/>
      <c r="B783" s="16"/>
      <c r="C783" s="16"/>
      <c r="D783" s="16"/>
      <c r="E783" s="16"/>
      <c r="F783" s="16"/>
      <c r="G783" s="17"/>
      <c r="H783" s="17"/>
      <c r="I783" s="17"/>
      <c r="J783" s="17"/>
      <c r="K783" s="17"/>
      <c r="L783" s="18" t="s">
        <v>1199</v>
      </c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</row>
    <row r="784" spans="1:80" ht="16.149999999999999" customHeight="1" x14ac:dyDescent="0.25">
      <c r="A784" s="16"/>
      <c r="B784" s="16"/>
      <c r="C784" s="16"/>
      <c r="D784" s="16"/>
      <c r="E784" s="16"/>
      <c r="F784" s="16"/>
      <c r="G784" s="17"/>
      <c r="H784" s="17"/>
      <c r="I784" s="17"/>
      <c r="J784" s="17"/>
      <c r="K784" s="17"/>
      <c r="L784" s="18" t="s">
        <v>1200</v>
      </c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</row>
    <row r="785" spans="1:80" ht="16.149999999999999" customHeight="1" x14ac:dyDescent="0.25">
      <c r="A785" s="16"/>
      <c r="B785" s="16"/>
      <c r="C785" s="16"/>
      <c r="D785" s="16"/>
      <c r="E785" s="16"/>
      <c r="F785" s="16"/>
      <c r="G785" s="17"/>
      <c r="H785" s="17"/>
      <c r="I785" s="17"/>
      <c r="J785" s="17"/>
      <c r="K785" s="17"/>
      <c r="L785" s="18" t="s">
        <v>1201</v>
      </c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</row>
    <row r="786" spans="1:80" ht="16.149999999999999" customHeight="1" x14ac:dyDescent="0.25">
      <c r="A786" s="16"/>
      <c r="B786" s="16"/>
      <c r="C786" s="16"/>
      <c r="D786" s="16"/>
      <c r="E786" s="16"/>
      <c r="F786" s="16"/>
      <c r="G786" s="17"/>
      <c r="H786" s="17"/>
      <c r="I786" s="17"/>
      <c r="J786" s="17"/>
      <c r="K786" s="17"/>
      <c r="L786" s="18" t="s">
        <v>1202</v>
      </c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</row>
    <row r="787" spans="1:80" ht="16.149999999999999" customHeight="1" x14ac:dyDescent="0.25">
      <c r="A787" s="16"/>
      <c r="B787" s="16"/>
      <c r="C787" s="16"/>
      <c r="D787" s="16"/>
      <c r="E787" s="16"/>
      <c r="F787" s="16"/>
      <c r="G787" s="17"/>
      <c r="H787" s="17"/>
      <c r="I787" s="17"/>
      <c r="J787" s="17"/>
      <c r="K787" s="17"/>
      <c r="L787" s="18" t="s">
        <v>1203</v>
      </c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</row>
    <row r="788" spans="1:80" ht="16.149999999999999" customHeight="1" x14ac:dyDescent="0.25">
      <c r="A788" s="16"/>
      <c r="B788" s="16"/>
      <c r="C788" s="16"/>
      <c r="D788" s="16"/>
      <c r="E788" s="16"/>
      <c r="F788" s="16"/>
      <c r="G788" s="17"/>
      <c r="H788" s="17"/>
      <c r="I788" s="17"/>
      <c r="J788" s="17"/>
      <c r="K788" s="17"/>
      <c r="L788" s="18" t="s">
        <v>1204</v>
      </c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</row>
    <row r="789" spans="1:80" ht="16.149999999999999" customHeight="1" x14ac:dyDescent="0.25">
      <c r="A789" s="16"/>
      <c r="B789" s="16"/>
      <c r="C789" s="16"/>
      <c r="D789" s="16"/>
      <c r="E789" s="16"/>
      <c r="F789" s="16"/>
      <c r="G789" s="17"/>
      <c r="H789" s="17"/>
      <c r="I789" s="17"/>
      <c r="J789" s="17"/>
      <c r="K789" s="17"/>
      <c r="L789" s="18" t="s">
        <v>1205</v>
      </c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</row>
    <row r="790" spans="1:80" ht="16.149999999999999" customHeight="1" x14ac:dyDescent="0.25">
      <c r="A790" s="16"/>
      <c r="B790" s="16"/>
      <c r="C790" s="16"/>
      <c r="D790" s="16"/>
      <c r="E790" s="16"/>
      <c r="F790" s="16"/>
      <c r="G790" s="17"/>
      <c r="H790" s="17"/>
      <c r="I790" s="17"/>
      <c r="J790" s="17"/>
      <c r="K790" s="17"/>
      <c r="L790" s="18" t="s">
        <v>1206</v>
      </c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</row>
    <row r="791" spans="1:80" ht="16.149999999999999" customHeight="1" x14ac:dyDescent="0.25">
      <c r="A791" s="16"/>
      <c r="B791" s="16"/>
      <c r="C791" s="16"/>
      <c r="D791" s="16"/>
      <c r="E791" s="16"/>
      <c r="F791" s="16"/>
      <c r="G791" s="17"/>
      <c r="H791" s="17"/>
      <c r="I791" s="17"/>
      <c r="J791" s="17"/>
      <c r="K791" s="17"/>
      <c r="L791" s="18" t="s">
        <v>1207</v>
      </c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</row>
    <row r="792" spans="1:80" ht="16.149999999999999" customHeight="1" x14ac:dyDescent="0.25">
      <c r="A792" s="16"/>
      <c r="B792" s="16"/>
      <c r="C792" s="16"/>
      <c r="D792" s="16"/>
      <c r="E792" s="16"/>
      <c r="F792" s="16"/>
      <c r="G792" s="17"/>
      <c r="H792" s="17"/>
      <c r="I792" s="17"/>
      <c r="J792" s="17"/>
      <c r="K792" s="17"/>
      <c r="L792" s="18" t="s">
        <v>1208</v>
      </c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</row>
    <row r="793" spans="1:80" ht="16.149999999999999" customHeight="1" x14ac:dyDescent="0.25">
      <c r="A793" s="16"/>
      <c r="B793" s="16"/>
      <c r="C793" s="16"/>
      <c r="D793" s="16"/>
      <c r="E793" s="16"/>
      <c r="F793" s="16"/>
      <c r="G793" s="17"/>
      <c r="H793" s="17"/>
      <c r="I793" s="17"/>
      <c r="J793" s="17"/>
      <c r="K793" s="17"/>
      <c r="L793" s="18" t="s">
        <v>1209</v>
      </c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</row>
    <row r="794" spans="1:80" ht="16.149999999999999" customHeight="1" x14ac:dyDescent="0.25">
      <c r="A794" s="16"/>
      <c r="B794" s="16"/>
      <c r="C794" s="16"/>
      <c r="D794" s="16"/>
      <c r="E794" s="16"/>
      <c r="F794" s="16"/>
      <c r="G794" s="17"/>
      <c r="H794" s="17"/>
      <c r="I794" s="17"/>
      <c r="J794" s="17"/>
      <c r="K794" s="17"/>
      <c r="L794" s="18" t="s">
        <v>1210</v>
      </c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</row>
    <row r="795" spans="1:80" ht="16.149999999999999" customHeight="1" x14ac:dyDescent="0.25">
      <c r="A795" s="16"/>
      <c r="B795" s="16"/>
      <c r="C795" s="16"/>
      <c r="D795" s="16"/>
      <c r="E795" s="16"/>
      <c r="F795" s="16"/>
      <c r="G795" s="17"/>
      <c r="H795" s="17"/>
      <c r="I795" s="17"/>
      <c r="J795" s="17"/>
      <c r="K795" s="17"/>
      <c r="L795" s="18" t="s">
        <v>1211</v>
      </c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</row>
    <row r="796" spans="1:80" ht="16.149999999999999" customHeight="1" x14ac:dyDescent="0.25">
      <c r="A796" s="16"/>
      <c r="B796" s="16"/>
      <c r="C796" s="16"/>
      <c r="D796" s="16"/>
      <c r="E796" s="16"/>
      <c r="F796" s="16"/>
      <c r="G796" s="17"/>
      <c r="H796" s="17"/>
      <c r="I796" s="17"/>
      <c r="J796" s="17"/>
      <c r="K796" s="17"/>
      <c r="L796" s="18" t="s">
        <v>1212</v>
      </c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</row>
    <row r="797" spans="1:80" ht="16.149999999999999" customHeight="1" x14ac:dyDescent="0.25">
      <c r="A797" s="16"/>
      <c r="B797" s="16"/>
      <c r="C797" s="16"/>
      <c r="D797" s="16"/>
      <c r="E797" s="16"/>
      <c r="F797" s="16"/>
      <c r="G797" s="17"/>
      <c r="H797" s="17"/>
      <c r="I797" s="17"/>
      <c r="J797" s="17"/>
      <c r="K797" s="17"/>
      <c r="L797" s="18" t="s">
        <v>1213</v>
      </c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</row>
    <row r="798" spans="1:80" ht="16.149999999999999" customHeight="1" x14ac:dyDescent="0.25">
      <c r="A798" s="16"/>
      <c r="B798" s="16"/>
      <c r="C798" s="16"/>
      <c r="D798" s="16"/>
      <c r="E798" s="16"/>
      <c r="F798" s="16"/>
      <c r="G798" s="17"/>
      <c r="H798" s="17"/>
      <c r="I798" s="17"/>
      <c r="J798" s="17"/>
      <c r="K798" s="17"/>
      <c r="L798" s="18" t="s">
        <v>1214</v>
      </c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</row>
    <row r="799" spans="1:80" ht="16.149999999999999" customHeight="1" x14ac:dyDescent="0.25">
      <c r="A799" s="16"/>
      <c r="B799" s="16"/>
      <c r="C799" s="16"/>
      <c r="D799" s="16"/>
      <c r="E799" s="16"/>
      <c r="F799" s="16"/>
      <c r="G799" s="17"/>
      <c r="H799" s="17"/>
      <c r="I799" s="17"/>
      <c r="J799" s="17"/>
      <c r="K799" s="17"/>
      <c r="L799" s="18" t="s">
        <v>1215</v>
      </c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</row>
    <row r="800" spans="1:80" ht="16.149999999999999" customHeight="1" x14ac:dyDescent="0.25">
      <c r="A800" s="16"/>
      <c r="B800" s="16"/>
      <c r="C800" s="16"/>
      <c r="D800" s="16"/>
      <c r="E800" s="16"/>
      <c r="F800" s="16"/>
      <c r="G800" s="17"/>
      <c r="H800" s="17"/>
      <c r="I800" s="17"/>
      <c r="J800" s="17"/>
      <c r="K800" s="17"/>
      <c r="L800" s="18" t="s">
        <v>1216</v>
      </c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</row>
    <row r="801" spans="1:80" ht="16.149999999999999" customHeight="1" x14ac:dyDescent="0.25">
      <c r="A801" s="16"/>
      <c r="B801" s="16"/>
      <c r="C801" s="16"/>
      <c r="D801" s="16"/>
      <c r="E801" s="16"/>
      <c r="F801" s="16"/>
      <c r="G801" s="17"/>
      <c r="H801" s="17"/>
      <c r="I801" s="17"/>
      <c r="J801" s="17"/>
      <c r="K801" s="17"/>
      <c r="L801" s="18" t="s">
        <v>1217</v>
      </c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</row>
    <row r="802" spans="1:80" ht="16.149999999999999" customHeight="1" x14ac:dyDescent="0.25">
      <c r="A802" s="16"/>
      <c r="B802" s="16"/>
      <c r="C802" s="16"/>
      <c r="D802" s="16"/>
      <c r="E802" s="16"/>
      <c r="F802" s="16"/>
      <c r="G802" s="17"/>
      <c r="H802" s="17"/>
      <c r="I802" s="17"/>
      <c r="J802" s="17"/>
      <c r="K802" s="17"/>
      <c r="L802" s="18" t="s">
        <v>1218</v>
      </c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</row>
    <row r="803" spans="1:80" ht="16.149999999999999" customHeight="1" x14ac:dyDescent="0.25">
      <c r="A803" s="16"/>
      <c r="B803" s="16"/>
      <c r="C803" s="16"/>
      <c r="D803" s="16"/>
      <c r="E803" s="16"/>
      <c r="F803" s="16"/>
      <c r="G803" s="17"/>
      <c r="H803" s="17"/>
      <c r="I803" s="17"/>
      <c r="J803" s="17"/>
      <c r="K803" s="17"/>
      <c r="L803" s="18" t="s">
        <v>1219</v>
      </c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</row>
    <row r="804" spans="1:80" ht="16.149999999999999" customHeight="1" x14ac:dyDescent="0.25">
      <c r="A804" s="16"/>
      <c r="B804" s="16"/>
      <c r="C804" s="16"/>
      <c r="D804" s="16"/>
      <c r="E804" s="16"/>
      <c r="F804" s="16"/>
      <c r="G804" s="17"/>
      <c r="H804" s="17"/>
      <c r="I804" s="17"/>
      <c r="J804" s="17"/>
      <c r="K804" s="17"/>
      <c r="L804" s="18" t="s">
        <v>1220</v>
      </c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</row>
    <row r="805" spans="1:80" ht="16.149999999999999" customHeight="1" x14ac:dyDescent="0.25">
      <c r="A805" s="16"/>
      <c r="B805" s="16"/>
      <c r="C805" s="16"/>
      <c r="D805" s="16"/>
      <c r="E805" s="16"/>
      <c r="F805" s="16"/>
      <c r="G805" s="17"/>
      <c r="H805" s="17"/>
      <c r="I805" s="17"/>
      <c r="J805" s="17"/>
      <c r="K805" s="17"/>
      <c r="L805" s="18" t="s">
        <v>1221</v>
      </c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</row>
    <row r="806" spans="1:80" ht="16.149999999999999" customHeight="1" x14ac:dyDescent="0.25">
      <c r="A806" s="16"/>
      <c r="B806" s="16"/>
      <c r="C806" s="16"/>
      <c r="D806" s="16"/>
      <c r="E806" s="16"/>
      <c r="F806" s="16"/>
      <c r="G806" s="17"/>
      <c r="H806" s="17"/>
      <c r="I806" s="17"/>
      <c r="J806" s="17"/>
      <c r="K806" s="17"/>
      <c r="L806" s="18" t="s">
        <v>1222</v>
      </c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</row>
    <row r="807" spans="1:80" ht="16.149999999999999" customHeight="1" x14ac:dyDescent="0.25">
      <c r="A807" s="16"/>
      <c r="B807" s="16"/>
      <c r="C807" s="16"/>
      <c r="D807" s="16"/>
      <c r="E807" s="16"/>
      <c r="F807" s="16"/>
      <c r="G807" s="17"/>
      <c r="H807" s="17"/>
      <c r="I807" s="17"/>
      <c r="J807" s="17"/>
      <c r="K807" s="17"/>
      <c r="L807" s="18" t="s">
        <v>1223</v>
      </c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</row>
    <row r="808" spans="1:80" ht="16.149999999999999" customHeight="1" x14ac:dyDescent="0.25">
      <c r="A808" s="16"/>
      <c r="B808" s="16"/>
      <c r="C808" s="16"/>
      <c r="D808" s="16"/>
      <c r="E808" s="16"/>
      <c r="F808" s="16"/>
      <c r="G808" s="17"/>
      <c r="H808" s="17"/>
      <c r="I808" s="17"/>
      <c r="J808" s="17"/>
      <c r="K808" s="17"/>
      <c r="L808" s="18" t="s">
        <v>1224</v>
      </c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</row>
    <row r="809" spans="1:80" ht="16.149999999999999" customHeight="1" x14ac:dyDescent="0.25">
      <c r="A809" s="16"/>
      <c r="B809" s="16"/>
      <c r="C809" s="16"/>
      <c r="D809" s="16"/>
      <c r="E809" s="16"/>
      <c r="F809" s="16"/>
      <c r="G809" s="17"/>
      <c r="H809" s="17"/>
      <c r="I809" s="17"/>
      <c r="J809" s="17"/>
      <c r="K809" s="17"/>
      <c r="L809" s="18" t="s">
        <v>1225</v>
      </c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</row>
    <row r="810" spans="1:80" ht="16.149999999999999" customHeight="1" x14ac:dyDescent="0.25">
      <c r="A810" s="16"/>
      <c r="B810" s="16"/>
      <c r="C810" s="16"/>
      <c r="D810" s="16"/>
      <c r="E810" s="16"/>
      <c r="F810" s="16"/>
      <c r="G810" s="17"/>
      <c r="H810" s="17"/>
      <c r="I810" s="17"/>
      <c r="J810" s="17"/>
      <c r="K810" s="17"/>
      <c r="L810" s="18" t="s">
        <v>1226</v>
      </c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</row>
    <row r="811" spans="1:80" ht="16.149999999999999" customHeight="1" x14ac:dyDescent="0.25">
      <c r="A811" s="16"/>
      <c r="B811" s="16"/>
      <c r="C811" s="16"/>
      <c r="D811" s="16"/>
      <c r="E811" s="16"/>
      <c r="F811" s="16"/>
      <c r="G811" s="17"/>
      <c r="H811" s="17"/>
      <c r="I811" s="17"/>
      <c r="J811" s="17"/>
      <c r="K811" s="17"/>
      <c r="L811" s="18" t="s">
        <v>1227</v>
      </c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</row>
    <row r="812" spans="1:80" ht="16.149999999999999" customHeight="1" x14ac:dyDescent="0.25">
      <c r="A812" s="16"/>
      <c r="B812" s="16"/>
      <c r="C812" s="16"/>
      <c r="D812" s="16"/>
      <c r="E812" s="16"/>
      <c r="F812" s="16"/>
      <c r="G812" s="17"/>
      <c r="H812" s="17"/>
      <c r="I812" s="17"/>
      <c r="J812" s="17"/>
      <c r="K812" s="17"/>
      <c r="L812" s="18" t="s">
        <v>1228</v>
      </c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</row>
    <row r="813" spans="1:80" ht="16.149999999999999" customHeight="1" x14ac:dyDescent="0.25">
      <c r="A813" s="16"/>
      <c r="B813" s="16"/>
      <c r="C813" s="16"/>
      <c r="D813" s="16"/>
      <c r="E813" s="16"/>
      <c r="F813" s="16"/>
      <c r="G813" s="17"/>
      <c r="H813" s="17"/>
      <c r="I813" s="17"/>
      <c r="J813" s="17"/>
      <c r="K813" s="17"/>
      <c r="L813" s="18" t="s">
        <v>1229</v>
      </c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</row>
    <row r="814" spans="1:80" ht="16.149999999999999" customHeight="1" x14ac:dyDescent="0.25">
      <c r="A814" s="16"/>
      <c r="B814" s="16"/>
      <c r="C814" s="16"/>
      <c r="D814" s="16"/>
      <c r="E814" s="16"/>
      <c r="F814" s="16"/>
      <c r="G814" s="17"/>
      <c r="H814" s="17"/>
      <c r="I814" s="17"/>
      <c r="J814" s="17"/>
      <c r="K814" s="17"/>
      <c r="L814" s="18" t="s">
        <v>1230</v>
      </c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</row>
    <row r="815" spans="1:80" ht="16.149999999999999" customHeight="1" x14ac:dyDescent="0.25">
      <c r="A815" s="16"/>
      <c r="B815" s="16"/>
      <c r="C815" s="16"/>
      <c r="D815" s="16"/>
      <c r="E815" s="16"/>
      <c r="F815" s="16"/>
      <c r="G815" s="17"/>
      <c r="H815" s="17"/>
      <c r="I815" s="17"/>
      <c r="J815" s="17"/>
      <c r="K815" s="17"/>
      <c r="L815" s="18" t="s">
        <v>1231</v>
      </c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</row>
    <row r="816" spans="1:80" ht="16.149999999999999" customHeight="1" x14ac:dyDescent="0.25">
      <c r="A816" s="16"/>
      <c r="B816" s="16"/>
      <c r="C816" s="16"/>
      <c r="D816" s="16"/>
      <c r="E816" s="16"/>
      <c r="F816" s="16"/>
      <c r="G816" s="17"/>
      <c r="H816" s="17"/>
      <c r="I816" s="17"/>
      <c r="J816" s="17"/>
      <c r="K816" s="17"/>
      <c r="L816" s="18" t="s">
        <v>1232</v>
      </c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</row>
    <row r="817" spans="1:80" ht="16.149999999999999" customHeight="1" x14ac:dyDescent="0.25">
      <c r="A817" s="16"/>
      <c r="B817" s="16"/>
      <c r="C817" s="16"/>
      <c r="D817" s="16"/>
      <c r="E817" s="16"/>
      <c r="F817" s="16"/>
      <c r="G817" s="17"/>
      <c r="H817" s="17"/>
      <c r="I817" s="17"/>
      <c r="J817" s="17"/>
      <c r="K817" s="17"/>
      <c r="L817" s="18" t="s">
        <v>1233</v>
      </c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</row>
    <row r="818" spans="1:80" ht="16.149999999999999" customHeight="1" x14ac:dyDescent="0.25">
      <c r="A818" s="16"/>
      <c r="B818" s="16"/>
      <c r="C818" s="16"/>
      <c r="D818" s="16"/>
      <c r="E818" s="16"/>
      <c r="F818" s="16"/>
      <c r="G818" s="17"/>
      <c r="H818" s="17"/>
      <c r="I818" s="17"/>
      <c r="J818" s="17"/>
      <c r="K818" s="17"/>
      <c r="L818" s="18" t="s">
        <v>1234</v>
      </c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</row>
    <row r="819" spans="1:80" ht="16.149999999999999" customHeight="1" x14ac:dyDescent="0.25">
      <c r="A819" s="16"/>
      <c r="B819" s="16"/>
      <c r="C819" s="16"/>
      <c r="D819" s="16"/>
      <c r="E819" s="16"/>
      <c r="F819" s="16"/>
      <c r="G819" s="17"/>
      <c r="H819" s="17"/>
      <c r="I819" s="17"/>
      <c r="J819" s="17"/>
      <c r="K819" s="17"/>
      <c r="L819" s="18" t="s">
        <v>1235</v>
      </c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</row>
    <row r="820" spans="1:80" ht="16.149999999999999" customHeight="1" x14ac:dyDescent="0.25">
      <c r="A820" s="16"/>
      <c r="B820" s="16"/>
      <c r="C820" s="16"/>
      <c r="D820" s="16"/>
      <c r="E820" s="16"/>
      <c r="F820" s="16"/>
      <c r="G820" s="17"/>
      <c r="H820" s="17"/>
      <c r="I820" s="17"/>
      <c r="J820" s="17"/>
      <c r="K820" s="17"/>
      <c r="L820" s="18" t="s">
        <v>1236</v>
      </c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</row>
    <row r="821" spans="1:80" ht="16.149999999999999" customHeight="1" x14ac:dyDescent="0.25">
      <c r="A821" s="16"/>
      <c r="B821" s="16"/>
      <c r="C821" s="16"/>
      <c r="D821" s="16"/>
      <c r="E821" s="16"/>
      <c r="F821" s="16"/>
      <c r="G821" s="17"/>
      <c r="H821" s="17"/>
      <c r="I821" s="17"/>
      <c r="J821" s="17"/>
      <c r="K821" s="17"/>
      <c r="L821" s="18" t="s">
        <v>1237</v>
      </c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</row>
    <row r="822" spans="1:80" ht="16.149999999999999" customHeight="1" x14ac:dyDescent="0.25">
      <c r="A822" s="16"/>
      <c r="B822" s="16"/>
      <c r="C822" s="16"/>
      <c r="D822" s="16"/>
      <c r="E822" s="16"/>
      <c r="F822" s="16"/>
      <c r="G822" s="17"/>
      <c r="H822" s="17"/>
      <c r="I822" s="17"/>
      <c r="J822" s="17"/>
      <c r="K822" s="17"/>
      <c r="L822" s="18" t="s">
        <v>1238</v>
      </c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</row>
    <row r="823" spans="1:80" ht="16.149999999999999" customHeight="1" x14ac:dyDescent="0.25">
      <c r="A823" s="16"/>
      <c r="B823" s="16"/>
      <c r="C823" s="16"/>
      <c r="D823" s="16"/>
      <c r="E823" s="16"/>
      <c r="F823" s="16"/>
      <c r="G823" s="17"/>
      <c r="H823" s="17"/>
      <c r="I823" s="17"/>
      <c r="J823" s="17"/>
      <c r="K823" s="17"/>
      <c r="L823" s="18" t="s">
        <v>1239</v>
      </c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</row>
    <row r="824" spans="1:80" ht="16.149999999999999" customHeight="1" x14ac:dyDescent="0.25">
      <c r="A824" s="16"/>
      <c r="B824" s="16"/>
      <c r="C824" s="16"/>
      <c r="D824" s="16"/>
      <c r="E824" s="16"/>
      <c r="F824" s="16"/>
      <c r="G824" s="17"/>
      <c r="H824" s="17"/>
      <c r="I824" s="17"/>
      <c r="J824" s="17"/>
      <c r="K824" s="17"/>
      <c r="L824" s="18" t="s">
        <v>1240</v>
      </c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</row>
    <row r="825" spans="1:80" ht="16.149999999999999" customHeight="1" x14ac:dyDescent="0.25">
      <c r="A825" s="16"/>
      <c r="B825" s="16"/>
      <c r="C825" s="16"/>
      <c r="D825" s="16"/>
      <c r="E825" s="16"/>
      <c r="F825" s="16"/>
      <c r="G825" s="17"/>
      <c r="H825" s="17"/>
      <c r="I825" s="17"/>
      <c r="J825" s="17"/>
      <c r="K825" s="17"/>
      <c r="L825" s="18" t="s">
        <v>1241</v>
      </c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</row>
    <row r="826" spans="1:80" ht="16.149999999999999" customHeight="1" x14ac:dyDescent="0.25">
      <c r="A826" s="16"/>
      <c r="B826" s="16"/>
      <c r="C826" s="16"/>
      <c r="D826" s="16"/>
      <c r="E826" s="16"/>
      <c r="F826" s="16"/>
      <c r="G826" s="17"/>
      <c r="H826" s="17"/>
      <c r="I826" s="17"/>
      <c r="J826" s="17"/>
      <c r="K826" s="17"/>
      <c r="L826" s="18" t="s">
        <v>1242</v>
      </c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</row>
    <row r="827" spans="1:80" ht="16.149999999999999" customHeight="1" x14ac:dyDescent="0.25">
      <c r="A827" s="16"/>
      <c r="B827" s="16"/>
      <c r="C827" s="16"/>
      <c r="D827" s="16"/>
      <c r="E827" s="16"/>
      <c r="F827" s="16"/>
      <c r="G827" s="17"/>
      <c r="H827" s="17"/>
      <c r="I827" s="17"/>
      <c r="J827" s="17"/>
      <c r="K827" s="17"/>
      <c r="L827" s="18" t="s">
        <v>1243</v>
      </c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</row>
    <row r="828" spans="1:80" ht="16.149999999999999" customHeight="1" x14ac:dyDescent="0.25">
      <c r="A828" s="16"/>
      <c r="B828" s="16"/>
      <c r="C828" s="16"/>
      <c r="D828" s="16"/>
      <c r="E828" s="16"/>
      <c r="F828" s="16"/>
      <c r="G828" s="17"/>
      <c r="H828" s="17"/>
      <c r="I828" s="17"/>
      <c r="J828" s="17"/>
      <c r="K828" s="17"/>
      <c r="L828" s="18" t="s">
        <v>1244</v>
      </c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</row>
    <row r="829" spans="1:80" ht="16.149999999999999" customHeight="1" x14ac:dyDescent="0.25">
      <c r="A829" s="16"/>
      <c r="B829" s="16"/>
      <c r="C829" s="16"/>
      <c r="D829" s="16"/>
      <c r="E829" s="16"/>
      <c r="F829" s="16"/>
      <c r="G829" s="17"/>
      <c r="H829" s="17"/>
      <c r="I829" s="17"/>
      <c r="J829" s="17"/>
      <c r="K829" s="17"/>
      <c r="L829" s="18" t="s">
        <v>1245</v>
      </c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</row>
    <row r="830" spans="1:80" ht="16.149999999999999" customHeight="1" x14ac:dyDescent="0.25">
      <c r="A830" s="16"/>
      <c r="B830" s="16"/>
      <c r="C830" s="16"/>
      <c r="D830" s="16"/>
      <c r="E830" s="16"/>
      <c r="F830" s="16"/>
      <c r="G830" s="17"/>
      <c r="H830" s="17"/>
      <c r="I830" s="17"/>
      <c r="J830" s="17"/>
      <c r="K830" s="17"/>
      <c r="L830" s="18" t="s">
        <v>1246</v>
      </c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</row>
    <row r="831" spans="1:80" ht="16.149999999999999" customHeight="1" x14ac:dyDescent="0.25">
      <c r="A831" s="16"/>
      <c r="B831" s="16"/>
      <c r="C831" s="16"/>
      <c r="D831" s="16"/>
      <c r="E831" s="16"/>
      <c r="F831" s="16"/>
      <c r="G831" s="17"/>
      <c r="H831" s="17"/>
      <c r="I831" s="17"/>
      <c r="J831" s="17"/>
      <c r="K831" s="17"/>
      <c r="L831" s="18" t="s">
        <v>1247</v>
      </c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</row>
    <row r="832" spans="1:80" ht="16.149999999999999" customHeight="1" x14ac:dyDescent="0.25">
      <c r="A832" s="16"/>
      <c r="B832" s="16"/>
      <c r="C832" s="16"/>
      <c r="D832" s="16"/>
      <c r="E832" s="16"/>
      <c r="F832" s="16"/>
      <c r="G832" s="17"/>
      <c r="H832" s="17"/>
      <c r="I832" s="17"/>
      <c r="J832" s="17"/>
      <c r="K832" s="17"/>
      <c r="L832" s="18" t="s">
        <v>1248</v>
      </c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</row>
    <row r="833" spans="1:80" ht="16.149999999999999" customHeight="1" x14ac:dyDescent="0.25">
      <c r="A833" s="16"/>
      <c r="B833" s="16"/>
      <c r="C833" s="16"/>
      <c r="D833" s="16"/>
      <c r="E833" s="16"/>
      <c r="F833" s="16"/>
      <c r="G833" s="17"/>
      <c r="H833" s="17"/>
      <c r="I833" s="17"/>
      <c r="J833" s="17"/>
      <c r="K833" s="17"/>
      <c r="L833" s="18" t="s">
        <v>1249</v>
      </c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</row>
    <row r="834" spans="1:80" ht="16.149999999999999" customHeight="1" x14ac:dyDescent="0.25">
      <c r="A834" s="16"/>
      <c r="B834" s="16"/>
      <c r="C834" s="16"/>
      <c r="D834" s="16"/>
      <c r="E834" s="16"/>
      <c r="F834" s="16"/>
      <c r="G834" s="17"/>
      <c r="H834" s="17"/>
      <c r="I834" s="17"/>
      <c r="J834" s="17"/>
      <c r="K834" s="17"/>
      <c r="L834" s="18" t="s">
        <v>1250</v>
      </c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</row>
    <row r="835" spans="1:80" ht="16.149999999999999" customHeight="1" x14ac:dyDescent="0.25">
      <c r="A835" s="16"/>
      <c r="B835" s="16"/>
      <c r="C835" s="16"/>
      <c r="D835" s="16"/>
      <c r="E835" s="16"/>
      <c r="F835" s="16"/>
      <c r="G835" s="17"/>
      <c r="H835" s="17"/>
      <c r="I835" s="17"/>
      <c r="J835" s="17"/>
      <c r="K835" s="17"/>
      <c r="L835" s="18" t="s">
        <v>1251</v>
      </c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</row>
    <row r="836" spans="1:80" ht="16.149999999999999" customHeight="1" x14ac:dyDescent="0.25">
      <c r="A836" s="16"/>
      <c r="B836" s="16"/>
      <c r="C836" s="16"/>
      <c r="D836" s="16"/>
      <c r="E836" s="16"/>
      <c r="F836" s="16"/>
      <c r="G836" s="17"/>
      <c r="H836" s="17"/>
      <c r="I836" s="17"/>
      <c r="J836" s="17"/>
      <c r="K836" s="17"/>
      <c r="L836" s="18" t="s">
        <v>1252</v>
      </c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</row>
    <row r="837" spans="1:80" ht="16.149999999999999" customHeight="1" x14ac:dyDescent="0.25">
      <c r="A837" s="16"/>
      <c r="B837" s="16"/>
      <c r="C837" s="16"/>
      <c r="D837" s="16"/>
      <c r="E837" s="16"/>
      <c r="F837" s="16"/>
      <c r="G837" s="17"/>
      <c r="H837" s="17"/>
      <c r="I837" s="17"/>
      <c r="J837" s="17"/>
      <c r="K837" s="17"/>
      <c r="L837" s="18" t="s">
        <v>1253</v>
      </c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</row>
    <row r="838" spans="1:80" ht="16.149999999999999" customHeight="1" x14ac:dyDescent="0.25">
      <c r="A838" s="16"/>
      <c r="B838" s="16"/>
      <c r="C838" s="16"/>
      <c r="D838" s="16"/>
      <c r="E838" s="16"/>
      <c r="F838" s="16"/>
      <c r="G838" s="17"/>
      <c r="H838" s="17"/>
      <c r="I838" s="17"/>
      <c r="J838" s="17"/>
      <c r="K838" s="17"/>
      <c r="L838" s="18" t="s">
        <v>1254</v>
      </c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</row>
    <row r="839" spans="1:80" ht="16.149999999999999" customHeight="1" x14ac:dyDescent="0.25">
      <c r="A839" s="16"/>
      <c r="B839" s="16"/>
      <c r="C839" s="16"/>
      <c r="D839" s="16"/>
      <c r="E839" s="16"/>
      <c r="F839" s="16"/>
      <c r="G839" s="17"/>
      <c r="H839" s="17"/>
      <c r="I839" s="17"/>
      <c r="J839" s="17"/>
      <c r="K839" s="17"/>
      <c r="L839" s="18" t="s">
        <v>1255</v>
      </c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</row>
    <row r="840" spans="1:80" ht="16.149999999999999" customHeight="1" x14ac:dyDescent="0.25">
      <c r="A840" s="16"/>
      <c r="B840" s="16"/>
      <c r="C840" s="16"/>
      <c r="D840" s="16"/>
      <c r="E840" s="16"/>
      <c r="F840" s="16"/>
      <c r="G840" s="17"/>
      <c r="H840" s="17"/>
      <c r="I840" s="17"/>
      <c r="J840" s="17"/>
      <c r="K840" s="17"/>
      <c r="L840" s="18" t="s">
        <v>1256</v>
      </c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</row>
    <row r="841" spans="1:80" ht="16.149999999999999" customHeight="1" x14ac:dyDescent="0.25">
      <c r="A841" s="16"/>
      <c r="B841" s="16"/>
      <c r="C841" s="16"/>
      <c r="D841" s="16"/>
      <c r="E841" s="16"/>
      <c r="F841" s="16"/>
      <c r="G841" s="17"/>
      <c r="H841" s="17"/>
      <c r="I841" s="17"/>
      <c r="J841" s="17"/>
      <c r="K841" s="17"/>
      <c r="L841" s="18" t="s">
        <v>1257</v>
      </c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</row>
    <row r="842" spans="1:80" ht="16.149999999999999" customHeight="1" x14ac:dyDescent="0.25">
      <c r="A842" s="16"/>
      <c r="B842" s="16"/>
      <c r="C842" s="16"/>
      <c r="D842" s="16"/>
      <c r="E842" s="16"/>
      <c r="F842" s="16"/>
      <c r="G842" s="17"/>
      <c r="H842" s="17"/>
      <c r="I842" s="17"/>
      <c r="J842" s="17"/>
      <c r="K842" s="17"/>
      <c r="L842" s="18" t="s">
        <v>1258</v>
      </c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</row>
    <row r="843" spans="1:80" ht="16.149999999999999" customHeight="1" x14ac:dyDescent="0.25">
      <c r="A843" s="16"/>
      <c r="B843" s="16"/>
      <c r="C843" s="16"/>
      <c r="D843" s="16"/>
      <c r="E843" s="16"/>
      <c r="F843" s="16"/>
      <c r="G843" s="17"/>
      <c r="H843" s="17"/>
      <c r="I843" s="17"/>
      <c r="J843" s="17"/>
      <c r="K843" s="17"/>
      <c r="L843" s="18" t="s">
        <v>1259</v>
      </c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</row>
    <row r="844" spans="1:80" ht="16.149999999999999" customHeight="1" x14ac:dyDescent="0.25">
      <c r="A844" s="16"/>
      <c r="B844" s="16"/>
      <c r="C844" s="16"/>
      <c r="D844" s="16"/>
      <c r="E844" s="16"/>
      <c r="F844" s="16"/>
      <c r="G844" s="17"/>
      <c r="H844" s="17"/>
      <c r="I844" s="17"/>
      <c r="J844" s="17"/>
      <c r="K844" s="17"/>
      <c r="L844" s="18" t="s">
        <v>1260</v>
      </c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</row>
    <row r="845" spans="1:80" ht="16.149999999999999" customHeight="1" x14ac:dyDescent="0.25">
      <c r="A845" s="16"/>
      <c r="B845" s="16"/>
      <c r="C845" s="16"/>
      <c r="D845" s="16"/>
      <c r="E845" s="16"/>
      <c r="F845" s="16"/>
      <c r="G845" s="17"/>
      <c r="H845" s="17"/>
      <c r="I845" s="17"/>
      <c r="J845" s="17"/>
      <c r="K845" s="17"/>
      <c r="L845" s="18" t="s">
        <v>1261</v>
      </c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</row>
    <row r="846" spans="1:80" ht="16.149999999999999" customHeight="1" x14ac:dyDescent="0.25">
      <c r="A846" s="16"/>
      <c r="B846" s="16"/>
      <c r="C846" s="16"/>
      <c r="D846" s="16"/>
      <c r="E846" s="16"/>
      <c r="F846" s="16"/>
      <c r="G846" s="17"/>
      <c r="H846" s="17"/>
      <c r="I846" s="17"/>
      <c r="J846" s="17"/>
      <c r="K846" s="17"/>
      <c r="L846" s="18" t="s">
        <v>1262</v>
      </c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</row>
    <row r="847" spans="1:80" ht="16.149999999999999" customHeight="1" x14ac:dyDescent="0.25">
      <c r="A847" s="16"/>
      <c r="B847" s="16"/>
      <c r="C847" s="16"/>
      <c r="D847" s="16"/>
      <c r="E847" s="16"/>
      <c r="F847" s="16"/>
      <c r="G847" s="17"/>
      <c r="H847" s="17"/>
      <c r="I847" s="17"/>
      <c r="J847" s="17"/>
      <c r="K847" s="17"/>
      <c r="L847" s="18" t="s">
        <v>1263</v>
      </c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</row>
    <row r="848" spans="1:80" ht="16.149999999999999" customHeight="1" x14ac:dyDescent="0.25">
      <c r="A848" s="16"/>
      <c r="B848" s="16"/>
      <c r="C848" s="16"/>
      <c r="D848" s="16"/>
      <c r="E848" s="16"/>
      <c r="F848" s="16"/>
      <c r="G848" s="17"/>
      <c r="H848" s="17"/>
      <c r="I848" s="17"/>
      <c r="J848" s="17"/>
      <c r="K848" s="17"/>
      <c r="L848" s="18" t="s">
        <v>1264</v>
      </c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</row>
    <row r="849" spans="1:80" ht="16.149999999999999" customHeight="1" x14ac:dyDescent="0.25">
      <c r="A849" s="16"/>
      <c r="B849" s="16"/>
      <c r="C849" s="16"/>
      <c r="D849" s="16"/>
      <c r="E849" s="16"/>
      <c r="F849" s="16"/>
      <c r="G849" s="17"/>
      <c r="H849" s="17"/>
      <c r="I849" s="17"/>
      <c r="J849" s="17"/>
      <c r="K849" s="17"/>
      <c r="L849" s="18" t="s">
        <v>1265</v>
      </c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</row>
    <row r="850" spans="1:80" ht="16.149999999999999" customHeight="1" x14ac:dyDescent="0.25">
      <c r="A850" s="16"/>
      <c r="B850" s="16"/>
      <c r="C850" s="16"/>
      <c r="D850" s="16"/>
      <c r="E850" s="16"/>
      <c r="F850" s="16"/>
      <c r="G850" s="17"/>
      <c r="H850" s="17"/>
      <c r="I850" s="17"/>
      <c r="J850" s="17"/>
      <c r="K850" s="17"/>
      <c r="L850" s="18" t="s">
        <v>1266</v>
      </c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</row>
    <row r="851" spans="1:80" ht="16.149999999999999" customHeight="1" x14ac:dyDescent="0.25">
      <c r="A851" s="16"/>
      <c r="B851" s="16"/>
      <c r="C851" s="16"/>
      <c r="D851" s="16"/>
      <c r="E851" s="16"/>
      <c r="F851" s="16"/>
      <c r="G851" s="17"/>
      <c r="H851" s="17"/>
      <c r="I851" s="17"/>
      <c r="J851" s="17"/>
      <c r="K851" s="17"/>
      <c r="L851" s="18" t="s">
        <v>1267</v>
      </c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</row>
    <row r="852" spans="1:80" ht="16.149999999999999" customHeight="1" x14ac:dyDescent="0.25">
      <c r="A852" s="16"/>
      <c r="B852" s="16"/>
      <c r="C852" s="16"/>
      <c r="D852" s="16"/>
      <c r="E852" s="16"/>
      <c r="F852" s="16"/>
      <c r="G852" s="17"/>
      <c r="H852" s="17"/>
      <c r="I852" s="17"/>
      <c r="J852" s="17"/>
      <c r="K852" s="17"/>
      <c r="L852" s="18" t="s">
        <v>1268</v>
      </c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</row>
    <row r="853" spans="1:80" ht="16.149999999999999" customHeight="1" x14ac:dyDescent="0.25">
      <c r="A853" s="16"/>
      <c r="B853" s="16"/>
      <c r="C853" s="16"/>
      <c r="D853" s="16"/>
      <c r="E853" s="16"/>
      <c r="F853" s="16"/>
      <c r="G853" s="17"/>
      <c r="H853" s="17"/>
      <c r="I853" s="17"/>
      <c r="J853" s="17"/>
      <c r="K853" s="17"/>
      <c r="L853" s="18" t="s">
        <v>1269</v>
      </c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</row>
    <row r="854" spans="1:80" ht="16.149999999999999" customHeight="1" x14ac:dyDescent="0.25">
      <c r="A854" s="16"/>
      <c r="B854" s="16"/>
      <c r="C854" s="16"/>
      <c r="D854" s="16"/>
      <c r="E854" s="16"/>
      <c r="F854" s="16"/>
      <c r="G854" s="17"/>
      <c r="H854" s="17"/>
      <c r="I854" s="17"/>
      <c r="J854" s="17"/>
      <c r="K854" s="17"/>
      <c r="L854" s="18" t="s">
        <v>1270</v>
      </c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</row>
    <row r="855" spans="1:80" ht="16.149999999999999" customHeight="1" x14ac:dyDescent="0.25">
      <c r="A855" s="16"/>
      <c r="B855" s="16"/>
      <c r="C855" s="16"/>
      <c r="D855" s="16"/>
      <c r="E855" s="16"/>
      <c r="F855" s="16"/>
      <c r="G855" s="17"/>
      <c r="H855" s="17"/>
      <c r="I855" s="17"/>
      <c r="J855" s="17"/>
      <c r="K855" s="17"/>
      <c r="L855" s="18" t="s">
        <v>1271</v>
      </c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</row>
    <row r="856" spans="1:80" ht="16.149999999999999" customHeight="1" x14ac:dyDescent="0.25">
      <c r="A856" s="16"/>
      <c r="B856" s="16"/>
      <c r="C856" s="16"/>
      <c r="D856" s="16"/>
      <c r="E856" s="16"/>
      <c r="F856" s="16"/>
      <c r="G856" s="17"/>
      <c r="H856" s="17"/>
      <c r="I856" s="17"/>
      <c r="J856" s="17"/>
      <c r="K856" s="17"/>
      <c r="L856" s="18" t="s">
        <v>1272</v>
      </c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</row>
    <row r="857" spans="1:80" ht="16.149999999999999" customHeight="1" x14ac:dyDescent="0.25">
      <c r="A857" s="16"/>
      <c r="B857" s="16"/>
      <c r="C857" s="16"/>
      <c r="D857" s="16"/>
      <c r="E857" s="16"/>
      <c r="F857" s="16"/>
      <c r="G857" s="17"/>
      <c r="H857" s="17"/>
      <c r="I857" s="17"/>
      <c r="J857" s="17"/>
      <c r="K857" s="17"/>
      <c r="L857" s="18" t="s">
        <v>1273</v>
      </c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</row>
    <row r="858" spans="1:80" ht="16.149999999999999" customHeight="1" x14ac:dyDescent="0.25">
      <c r="A858" s="16"/>
      <c r="B858" s="16"/>
      <c r="C858" s="16"/>
      <c r="D858" s="16"/>
      <c r="E858" s="16"/>
      <c r="F858" s="16"/>
      <c r="G858" s="17"/>
      <c r="H858" s="17"/>
      <c r="I858" s="17"/>
      <c r="J858" s="17"/>
      <c r="K858" s="17"/>
      <c r="L858" s="18" t="s">
        <v>1274</v>
      </c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</row>
    <row r="859" spans="1:80" ht="16.149999999999999" customHeight="1" x14ac:dyDescent="0.25">
      <c r="A859" s="16"/>
      <c r="B859" s="16"/>
      <c r="C859" s="16"/>
      <c r="D859" s="16"/>
      <c r="E859" s="16"/>
      <c r="F859" s="16"/>
      <c r="G859" s="17"/>
      <c r="H859" s="17"/>
      <c r="I859" s="17"/>
      <c r="J859" s="17"/>
      <c r="K859" s="17"/>
      <c r="L859" s="18" t="s">
        <v>1275</v>
      </c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</row>
    <row r="860" spans="1:80" ht="16.149999999999999" customHeight="1" x14ac:dyDescent="0.25">
      <c r="A860" s="16"/>
      <c r="B860" s="16"/>
      <c r="C860" s="16"/>
      <c r="D860" s="16"/>
      <c r="E860" s="16"/>
      <c r="F860" s="16"/>
      <c r="G860" s="17"/>
      <c r="H860" s="17"/>
      <c r="I860" s="17"/>
      <c r="J860" s="17"/>
      <c r="K860" s="17"/>
      <c r="L860" s="18" t="s">
        <v>1276</v>
      </c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</row>
    <row r="861" spans="1:80" ht="16.149999999999999" customHeight="1" x14ac:dyDescent="0.25">
      <c r="A861" s="16"/>
      <c r="B861" s="16"/>
      <c r="C861" s="16"/>
      <c r="D861" s="16"/>
      <c r="E861" s="16"/>
      <c r="F861" s="16"/>
      <c r="G861" s="17"/>
      <c r="H861" s="17"/>
      <c r="I861" s="17"/>
      <c r="J861" s="17"/>
      <c r="K861" s="17"/>
      <c r="L861" s="18" t="s">
        <v>1277</v>
      </c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</row>
    <row r="862" spans="1:80" ht="16.149999999999999" customHeight="1" x14ac:dyDescent="0.25">
      <c r="A862" s="16"/>
      <c r="B862" s="16"/>
      <c r="C862" s="16"/>
      <c r="D862" s="16"/>
      <c r="E862" s="16"/>
      <c r="F862" s="16"/>
      <c r="G862" s="17"/>
      <c r="H862" s="17"/>
      <c r="I862" s="17"/>
      <c r="J862" s="17"/>
      <c r="K862" s="17"/>
      <c r="L862" s="18" t="s">
        <v>1278</v>
      </c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</row>
    <row r="863" spans="1:80" ht="16.149999999999999" customHeight="1" x14ac:dyDescent="0.25">
      <c r="A863" s="16"/>
      <c r="B863" s="16"/>
      <c r="C863" s="16"/>
      <c r="D863" s="16"/>
      <c r="E863" s="16"/>
      <c r="F863" s="16"/>
      <c r="G863" s="17"/>
      <c r="H863" s="17"/>
      <c r="I863" s="17"/>
      <c r="J863" s="17"/>
      <c r="K863" s="17"/>
      <c r="L863" s="18" t="s">
        <v>1279</v>
      </c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</row>
    <row r="864" spans="1:80" ht="16.149999999999999" customHeight="1" x14ac:dyDescent="0.25">
      <c r="A864" s="16"/>
      <c r="B864" s="16"/>
      <c r="C864" s="16"/>
      <c r="D864" s="16"/>
      <c r="E864" s="16"/>
      <c r="F864" s="16"/>
      <c r="G864" s="17"/>
      <c r="H864" s="17"/>
      <c r="I864" s="17"/>
      <c r="J864" s="17"/>
      <c r="K864" s="17"/>
      <c r="L864" s="18" t="s">
        <v>1280</v>
      </c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</row>
    <row r="865" spans="1:80" ht="16.149999999999999" customHeight="1" x14ac:dyDescent="0.25">
      <c r="A865" s="16"/>
      <c r="B865" s="16"/>
      <c r="C865" s="16"/>
      <c r="D865" s="16"/>
      <c r="E865" s="16"/>
      <c r="F865" s="16"/>
      <c r="G865" s="17"/>
      <c r="H865" s="17"/>
      <c r="I865" s="17"/>
      <c r="J865" s="17"/>
      <c r="K865" s="17"/>
      <c r="L865" s="18" t="s">
        <v>1281</v>
      </c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</row>
    <row r="866" spans="1:80" ht="16.149999999999999" customHeight="1" x14ac:dyDescent="0.25">
      <c r="A866" s="16"/>
      <c r="B866" s="16"/>
      <c r="C866" s="16"/>
      <c r="D866" s="16"/>
      <c r="E866" s="16"/>
      <c r="F866" s="16"/>
      <c r="G866" s="17"/>
      <c r="H866" s="17"/>
      <c r="I866" s="17"/>
      <c r="J866" s="17"/>
      <c r="K866" s="17"/>
      <c r="L866" s="18" t="s">
        <v>1282</v>
      </c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</row>
    <row r="867" spans="1:80" ht="16.149999999999999" customHeight="1" x14ac:dyDescent="0.25">
      <c r="A867" s="16"/>
      <c r="B867" s="16"/>
      <c r="C867" s="16"/>
      <c r="D867" s="16"/>
      <c r="E867" s="16"/>
      <c r="F867" s="16"/>
      <c r="G867" s="17"/>
      <c r="H867" s="17"/>
      <c r="I867" s="17"/>
      <c r="J867" s="17"/>
      <c r="K867" s="17"/>
      <c r="L867" s="18" t="s">
        <v>1283</v>
      </c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</row>
    <row r="868" spans="1:80" ht="16.149999999999999" customHeight="1" x14ac:dyDescent="0.25">
      <c r="A868" s="16"/>
      <c r="B868" s="16"/>
      <c r="C868" s="16"/>
      <c r="D868" s="16"/>
      <c r="E868" s="16"/>
      <c r="F868" s="16"/>
      <c r="G868" s="17"/>
      <c r="H868" s="17"/>
      <c r="I868" s="17"/>
      <c r="J868" s="17"/>
      <c r="K868" s="17"/>
      <c r="L868" s="18" t="s">
        <v>1284</v>
      </c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</row>
    <row r="869" spans="1:80" ht="16.149999999999999" customHeight="1" x14ac:dyDescent="0.25">
      <c r="A869" s="16"/>
      <c r="B869" s="16"/>
      <c r="C869" s="16"/>
      <c r="D869" s="16"/>
      <c r="E869" s="16"/>
      <c r="F869" s="16"/>
      <c r="G869" s="17"/>
      <c r="H869" s="17"/>
      <c r="I869" s="17"/>
      <c r="J869" s="17"/>
      <c r="K869" s="17"/>
      <c r="L869" s="18" t="s">
        <v>1285</v>
      </c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</row>
    <row r="870" spans="1:80" ht="16.149999999999999" customHeight="1" x14ac:dyDescent="0.25">
      <c r="A870" s="16"/>
      <c r="B870" s="16"/>
      <c r="C870" s="16"/>
      <c r="D870" s="16"/>
      <c r="E870" s="16"/>
      <c r="F870" s="16"/>
      <c r="G870" s="17"/>
      <c r="H870" s="17"/>
      <c r="I870" s="17"/>
      <c r="J870" s="17"/>
      <c r="K870" s="17"/>
      <c r="L870" s="18" t="s">
        <v>1286</v>
      </c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</row>
    <row r="871" spans="1:80" ht="16.149999999999999" customHeight="1" x14ac:dyDescent="0.25">
      <c r="A871" s="16"/>
      <c r="B871" s="16"/>
      <c r="C871" s="16"/>
      <c r="D871" s="16"/>
      <c r="E871" s="16"/>
      <c r="F871" s="16"/>
      <c r="G871" s="17"/>
      <c r="H871" s="17"/>
      <c r="I871" s="17"/>
      <c r="J871" s="17"/>
      <c r="K871" s="17"/>
      <c r="L871" s="18" t="s">
        <v>1287</v>
      </c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</row>
    <row r="872" spans="1:80" ht="16.149999999999999" customHeight="1" x14ac:dyDescent="0.25">
      <c r="A872" s="16"/>
      <c r="B872" s="16"/>
      <c r="C872" s="16"/>
      <c r="D872" s="16"/>
      <c r="E872" s="16"/>
      <c r="F872" s="16"/>
      <c r="G872" s="17"/>
      <c r="H872" s="17"/>
      <c r="I872" s="17"/>
      <c r="J872" s="17"/>
      <c r="K872" s="17"/>
      <c r="L872" s="18" t="s">
        <v>1288</v>
      </c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</row>
    <row r="873" spans="1:80" ht="16.149999999999999" customHeight="1" x14ac:dyDescent="0.25">
      <c r="A873" s="16"/>
      <c r="B873" s="16"/>
      <c r="C873" s="16"/>
      <c r="D873" s="16"/>
      <c r="E873" s="16"/>
      <c r="F873" s="16"/>
      <c r="G873" s="17"/>
      <c r="H873" s="17"/>
      <c r="I873" s="17"/>
      <c r="J873" s="17"/>
      <c r="K873" s="17"/>
      <c r="L873" s="18" t="s">
        <v>1289</v>
      </c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</row>
    <row r="874" spans="1:80" ht="16.149999999999999" customHeight="1" x14ac:dyDescent="0.25">
      <c r="A874" s="16"/>
      <c r="B874" s="16"/>
      <c r="C874" s="16"/>
      <c r="D874" s="16"/>
      <c r="E874" s="16"/>
      <c r="F874" s="16"/>
      <c r="G874" s="17"/>
      <c r="H874" s="17"/>
      <c r="I874" s="17"/>
      <c r="J874" s="17"/>
      <c r="K874" s="17"/>
      <c r="L874" s="18" t="s">
        <v>1290</v>
      </c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</row>
    <row r="875" spans="1:80" ht="16.149999999999999" customHeight="1" x14ac:dyDescent="0.25">
      <c r="A875" s="16"/>
      <c r="B875" s="16"/>
      <c r="C875" s="16"/>
      <c r="D875" s="16"/>
      <c r="E875" s="16"/>
      <c r="F875" s="16"/>
      <c r="G875" s="17"/>
      <c r="H875" s="17"/>
      <c r="I875" s="17"/>
      <c r="J875" s="17"/>
      <c r="K875" s="17"/>
      <c r="L875" s="18" t="s">
        <v>1291</v>
      </c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</row>
    <row r="876" spans="1:80" ht="16.149999999999999" customHeight="1" x14ac:dyDescent="0.25">
      <c r="A876" s="16"/>
      <c r="B876" s="16"/>
      <c r="C876" s="16"/>
      <c r="D876" s="16"/>
      <c r="E876" s="16"/>
      <c r="F876" s="16"/>
      <c r="G876" s="17"/>
      <c r="H876" s="17"/>
      <c r="I876" s="17"/>
      <c r="J876" s="17"/>
      <c r="K876" s="17"/>
      <c r="L876" s="18" t="s">
        <v>1292</v>
      </c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</row>
    <row r="877" spans="1:80" ht="16.149999999999999" customHeight="1" x14ac:dyDescent="0.25">
      <c r="A877" s="16"/>
      <c r="B877" s="16"/>
      <c r="C877" s="16"/>
      <c r="D877" s="16"/>
      <c r="E877" s="16"/>
      <c r="F877" s="16"/>
      <c r="G877" s="17"/>
      <c r="H877" s="17"/>
      <c r="I877" s="17"/>
      <c r="J877" s="17"/>
      <c r="K877" s="17"/>
      <c r="L877" s="18" t="s">
        <v>1293</v>
      </c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</row>
    <row r="878" spans="1:80" ht="16.149999999999999" customHeight="1" x14ac:dyDescent="0.25">
      <c r="A878" s="16"/>
      <c r="B878" s="16"/>
      <c r="C878" s="16"/>
      <c r="D878" s="16"/>
      <c r="E878" s="16"/>
      <c r="F878" s="16"/>
      <c r="G878" s="17"/>
      <c r="H878" s="17"/>
      <c r="I878" s="17"/>
      <c r="J878" s="17"/>
      <c r="K878" s="17"/>
      <c r="L878" s="18" t="s">
        <v>1294</v>
      </c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</row>
    <row r="879" spans="1:80" ht="16.149999999999999" customHeight="1" x14ac:dyDescent="0.25">
      <c r="A879" s="16"/>
      <c r="B879" s="16"/>
      <c r="C879" s="16"/>
      <c r="D879" s="16"/>
      <c r="E879" s="16"/>
      <c r="F879" s="16"/>
      <c r="G879" s="17"/>
      <c r="H879" s="17"/>
      <c r="I879" s="17"/>
      <c r="J879" s="17"/>
      <c r="K879" s="17"/>
      <c r="L879" s="18" t="s">
        <v>1295</v>
      </c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</row>
    <row r="880" spans="1:80" ht="16.149999999999999" customHeight="1" x14ac:dyDescent="0.25">
      <c r="A880" s="16"/>
      <c r="B880" s="16"/>
      <c r="C880" s="16"/>
      <c r="D880" s="16"/>
      <c r="E880" s="16"/>
      <c r="F880" s="16"/>
      <c r="G880" s="17"/>
      <c r="H880" s="17"/>
      <c r="I880" s="17"/>
      <c r="J880" s="17"/>
      <c r="K880" s="17"/>
      <c r="L880" s="18" t="s">
        <v>1296</v>
      </c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</row>
    <row r="881" spans="1:80" ht="16.149999999999999" customHeight="1" x14ac:dyDescent="0.25">
      <c r="A881" s="16"/>
      <c r="B881" s="16"/>
      <c r="C881" s="16"/>
      <c r="D881" s="16"/>
      <c r="E881" s="16"/>
      <c r="F881" s="16"/>
      <c r="G881" s="17"/>
      <c r="H881" s="17"/>
      <c r="I881" s="17"/>
      <c r="J881" s="17"/>
      <c r="K881" s="17"/>
      <c r="L881" s="18" t="s">
        <v>1297</v>
      </c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</row>
    <row r="882" spans="1:80" ht="16.149999999999999" customHeight="1" x14ac:dyDescent="0.25">
      <c r="A882" s="16"/>
      <c r="B882" s="16"/>
      <c r="C882" s="16"/>
      <c r="D882" s="16"/>
      <c r="E882" s="16"/>
      <c r="F882" s="16"/>
      <c r="G882" s="17"/>
      <c r="H882" s="17"/>
      <c r="I882" s="17"/>
      <c r="J882" s="17"/>
      <c r="K882" s="17"/>
      <c r="L882" s="18" t="s">
        <v>1298</v>
      </c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</row>
    <row r="883" spans="1:80" ht="16.149999999999999" customHeight="1" x14ac:dyDescent="0.25">
      <c r="A883" s="16"/>
      <c r="B883" s="16"/>
      <c r="C883" s="16"/>
      <c r="D883" s="16"/>
      <c r="E883" s="16"/>
      <c r="F883" s="16"/>
      <c r="G883" s="17"/>
      <c r="H883" s="17"/>
      <c r="I883" s="17"/>
      <c r="J883" s="17"/>
      <c r="K883" s="17"/>
      <c r="L883" s="18" t="s">
        <v>1299</v>
      </c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</row>
    <row r="884" spans="1:80" ht="16.149999999999999" customHeight="1" x14ac:dyDescent="0.25">
      <c r="A884" s="16"/>
      <c r="B884" s="16"/>
      <c r="C884" s="16"/>
      <c r="D884" s="16"/>
      <c r="E884" s="16"/>
      <c r="F884" s="16"/>
      <c r="G884" s="17"/>
      <c r="H884" s="17"/>
      <c r="I884" s="17"/>
      <c r="J884" s="17"/>
      <c r="K884" s="17"/>
      <c r="L884" s="18" t="s">
        <v>1300</v>
      </c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</row>
    <row r="885" spans="1:80" ht="16.149999999999999" customHeight="1" x14ac:dyDescent="0.25">
      <c r="A885" s="16"/>
      <c r="B885" s="16"/>
      <c r="C885" s="16"/>
      <c r="D885" s="16"/>
      <c r="E885" s="16"/>
      <c r="F885" s="16"/>
      <c r="G885" s="17"/>
      <c r="H885" s="17"/>
      <c r="I885" s="17"/>
      <c r="J885" s="17"/>
      <c r="K885" s="17"/>
      <c r="L885" s="18" t="s">
        <v>1301</v>
      </c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</row>
    <row r="886" spans="1:80" ht="16.149999999999999" customHeight="1" x14ac:dyDescent="0.25">
      <c r="A886" s="16"/>
      <c r="B886" s="16"/>
      <c r="C886" s="16"/>
      <c r="D886" s="16"/>
      <c r="E886" s="16"/>
      <c r="F886" s="16"/>
      <c r="G886" s="17"/>
      <c r="H886" s="17"/>
      <c r="I886" s="17"/>
      <c r="J886" s="17"/>
      <c r="K886" s="17"/>
      <c r="L886" s="18" t="s">
        <v>1302</v>
      </c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</row>
    <row r="887" spans="1:80" ht="16.149999999999999" customHeight="1" x14ac:dyDescent="0.25">
      <c r="A887" s="16"/>
      <c r="B887" s="16"/>
      <c r="C887" s="16"/>
      <c r="D887" s="16"/>
      <c r="E887" s="16"/>
      <c r="F887" s="16"/>
      <c r="G887" s="17"/>
      <c r="H887" s="17"/>
      <c r="I887" s="17"/>
      <c r="J887" s="17"/>
      <c r="K887" s="17"/>
      <c r="L887" s="18" t="s">
        <v>1303</v>
      </c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</row>
    <row r="888" spans="1:80" ht="16.149999999999999" customHeight="1" x14ac:dyDescent="0.25">
      <c r="A888" s="16"/>
      <c r="B888" s="16"/>
      <c r="C888" s="16"/>
      <c r="D888" s="16"/>
      <c r="E888" s="16"/>
      <c r="F888" s="16"/>
      <c r="G888" s="17"/>
      <c r="H888" s="17"/>
      <c r="I888" s="17"/>
      <c r="J888" s="17"/>
      <c r="K888" s="17"/>
      <c r="L888" s="18" t="s">
        <v>1304</v>
      </c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</row>
    <row r="889" spans="1:80" ht="16.149999999999999" customHeight="1" x14ac:dyDescent="0.25">
      <c r="A889" s="16"/>
      <c r="B889" s="16"/>
      <c r="C889" s="16"/>
      <c r="D889" s="16"/>
      <c r="E889" s="16"/>
      <c r="F889" s="16"/>
      <c r="G889" s="17"/>
      <c r="H889" s="17"/>
      <c r="I889" s="17"/>
      <c r="J889" s="17"/>
      <c r="K889" s="17"/>
      <c r="L889" s="18" t="s">
        <v>1305</v>
      </c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</row>
    <row r="890" spans="1:80" ht="16.149999999999999" customHeight="1" x14ac:dyDescent="0.25">
      <c r="A890" s="16"/>
      <c r="B890" s="16"/>
      <c r="C890" s="16"/>
      <c r="D890" s="16"/>
      <c r="E890" s="16"/>
      <c r="F890" s="16"/>
      <c r="G890" s="17"/>
      <c r="H890" s="17"/>
      <c r="I890" s="17"/>
      <c r="J890" s="17"/>
      <c r="K890" s="17"/>
      <c r="L890" s="18" t="s">
        <v>1306</v>
      </c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</row>
    <row r="891" spans="1:80" ht="16.149999999999999" customHeight="1" x14ac:dyDescent="0.25">
      <c r="A891" s="16"/>
      <c r="B891" s="16"/>
      <c r="C891" s="16"/>
      <c r="D891" s="16"/>
      <c r="E891" s="16"/>
      <c r="F891" s="16"/>
      <c r="G891" s="17"/>
      <c r="H891" s="17"/>
      <c r="I891" s="17"/>
      <c r="J891" s="17"/>
      <c r="K891" s="17"/>
      <c r="L891" s="18" t="s">
        <v>1307</v>
      </c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</row>
    <row r="892" spans="1:80" ht="16.149999999999999" customHeight="1" x14ac:dyDescent="0.25">
      <c r="A892" s="16"/>
      <c r="B892" s="16"/>
      <c r="C892" s="16"/>
      <c r="D892" s="16"/>
      <c r="E892" s="16"/>
      <c r="F892" s="16"/>
      <c r="G892" s="17"/>
      <c r="H892" s="17"/>
      <c r="I892" s="17"/>
      <c r="J892" s="17"/>
      <c r="K892" s="17"/>
      <c r="L892" s="18" t="s">
        <v>1308</v>
      </c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</row>
    <row r="893" spans="1:80" ht="16.149999999999999" customHeight="1" x14ac:dyDescent="0.25">
      <c r="A893" s="16"/>
      <c r="B893" s="16"/>
      <c r="C893" s="16"/>
      <c r="D893" s="16"/>
      <c r="E893" s="16"/>
      <c r="F893" s="16"/>
      <c r="G893" s="17"/>
      <c r="H893" s="17"/>
      <c r="I893" s="17"/>
      <c r="J893" s="17"/>
      <c r="K893" s="17"/>
      <c r="L893" s="18" t="s">
        <v>1309</v>
      </c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</row>
    <row r="894" spans="1:80" ht="16.149999999999999" customHeight="1" x14ac:dyDescent="0.25">
      <c r="A894" s="16"/>
      <c r="B894" s="16"/>
      <c r="C894" s="16"/>
      <c r="D894" s="16"/>
      <c r="E894" s="16"/>
      <c r="F894" s="16"/>
      <c r="G894" s="17"/>
      <c r="H894" s="17"/>
      <c r="I894" s="17"/>
      <c r="J894" s="17"/>
      <c r="K894" s="17"/>
      <c r="L894" s="18" t="s">
        <v>1310</v>
      </c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</row>
    <row r="895" spans="1:80" ht="16.149999999999999" customHeight="1" x14ac:dyDescent="0.25">
      <c r="A895" s="16"/>
      <c r="B895" s="16"/>
      <c r="C895" s="16"/>
      <c r="D895" s="16"/>
      <c r="E895" s="16"/>
      <c r="F895" s="16"/>
      <c r="G895" s="17"/>
      <c r="H895" s="17"/>
      <c r="I895" s="17"/>
      <c r="J895" s="17"/>
      <c r="K895" s="17"/>
      <c r="L895" s="18" t="s">
        <v>1311</v>
      </c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</row>
    <row r="896" spans="1:80" ht="16.149999999999999" customHeight="1" x14ac:dyDescent="0.25">
      <c r="A896" s="16"/>
      <c r="B896" s="16"/>
      <c r="C896" s="16"/>
      <c r="D896" s="16"/>
      <c r="E896" s="16"/>
      <c r="F896" s="16"/>
      <c r="G896" s="17"/>
      <c r="H896" s="17"/>
      <c r="I896" s="17"/>
      <c r="J896" s="17"/>
      <c r="K896" s="17"/>
      <c r="L896" s="18" t="s">
        <v>1312</v>
      </c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</row>
    <row r="897" spans="1:80" ht="16.149999999999999" customHeight="1" x14ac:dyDescent="0.25">
      <c r="A897" s="16"/>
      <c r="B897" s="16"/>
      <c r="C897" s="16"/>
      <c r="D897" s="16"/>
      <c r="E897" s="16"/>
      <c r="F897" s="16"/>
      <c r="G897" s="17"/>
      <c r="H897" s="17"/>
      <c r="I897" s="17"/>
      <c r="J897" s="17"/>
      <c r="K897" s="17"/>
      <c r="L897" s="18" t="s">
        <v>1313</v>
      </c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</row>
    <row r="898" spans="1:80" ht="16.149999999999999" customHeight="1" x14ac:dyDescent="0.25">
      <c r="A898" s="16"/>
      <c r="B898" s="16"/>
      <c r="C898" s="16"/>
      <c r="D898" s="16"/>
      <c r="E898" s="16"/>
      <c r="F898" s="16"/>
      <c r="G898" s="17"/>
      <c r="H898" s="17"/>
      <c r="I898" s="17"/>
      <c r="J898" s="17"/>
      <c r="K898" s="17"/>
      <c r="L898" s="18" t="s">
        <v>1314</v>
      </c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</row>
    <row r="899" spans="1:80" ht="16.149999999999999" customHeight="1" x14ac:dyDescent="0.25">
      <c r="A899" s="16"/>
      <c r="B899" s="16"/>
      <c r="C899" s="16"/>
      <c r="D899" s="16"/>
      <c r="E899" s="16"/>
      <c r="F899" s="16"/>
      <c r="G899" s="17"/>
      <c r="H899" s="17"/>
      <c r="I899" s="17"/>
      <c r="J899" s="17"/>
      <c r="K899" s="17"/>
      <c r="L899" s="18" t="s">
        <v>1315</v>
      </c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</row>
    <row r="900" spans="1:80" ht="16.149999999999999" customHeight="1" x14ac:dyDescent="0.25">
      <c r="A900" s="16"/>
      <c r="B900" s="16"/>
      <c r="C900" s="16"/>
      <c r="D900" s="16"/>
      <c r="E900" s="16"/>
      <c r="F900" s="16"/>
      <c r="G900" s="17"/>
      <c r="H900" s="17"/>
      <c r="I900" s="17"/>
      <c r="J900" s="17"/>
      <c r="K900" s="17"/>
      <c r="L900" s="18" t="s">
        <v>1316</v>
      </c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</row>
    <row r="901" spans="1:80" ht="16.149999999999999" customHeight="1" x14ac:dyDescent="0.25">
      <c r="A901" s="16"/>
      <c r="B901" s="16"/>
      <c r="C901" s="16"/>
      <c r="D901" s="16"/>
      <c r="E901" s="16"/>
      <c r="F901" s="16"/>
      <c r="G901" s="17"/>
      <c r="H901" s="17"/>
      <c r="I901" s="17"/>
      <c r="J901" s="17"/>
      <c r="K901" s="17"/>
      <c r="L901" s="18" t="s">
        <v>1317</v>
      </c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</row>
    <row r="902" spans="1:80" ht="16.149999999999999" customHeight="1" x14ac:dyDescent="0.25">
      <c r="A902" s="16"/>
      <c r="B902" s="16"/>
      <c r="C902" s="16"/>
      <c r="D902" s="16"/>
      <c r="E902" s="16"/>
      <c r="F902" s="16"/>
      <c r="G902" s="17"/>
      <c r="H902" s="17"/>
      <c r="I902" s="17"/>
      <c r="J902" s="17"/>
      <c r="K902" s="17"/>
      <c r="L902" s="18" t="s">
        <v>1318</v>
      </c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</row>
    <row r="903" spans="1:80" ht="16.149999999999999" customHeight="1" x14ac:dyDescent="0.25">
      <c r="A903" s="16"/>
      <c r="B903" s="16"/>
      <c r="C903" s="16"/>
      <c r="D903" s="16"/>
      <c r="E903" s="16"/>
      <c r="F903" s="16"/>
      <c r="G903" s="17"/>
      <c r="H903" s="17"/>
      <c r="I903" s="17"/>
      <c r="J903" s="17"/>
      <c r="K903" s="17"/>
      <c r="L903" s="18" t="s">
        <v>1319</v>
      </c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</row>
    <row r="904" spans="1:80" ht="16.149999999999999" customHeight="1" x14ac:dyDescent="0.25">
      <c r="A904" s="16"/>
      <c r="B904" s="16"/>
      <c r="C904" s="16"/>
      <c r="D904" s="16"/>
      <c r="E904" s="16"/>
      <c r="F904" s="16"/>
      <c r="G904" s="17"/>
      <c r="H904" s="17"/>
      <c r="I904" s="17"/>
      <c r="J904" s="17"/>
      <c r="K904" s="17"/>
      <c r="L904" s="18" t="s">
        <v>1320</v>
      </c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</row>
    <row r="905" spans="1:80" ht="16.149999999999999" customHeight="1" x14ac:dyDescent="0.25">
      <c r="A905" s="16"/>
      <c r="B905" s="16"/>
      <c r="C905" s="16"/>
      <c r="D905" s="16"/>
      <c r="E905" s="16"/>
      <c r="F905" s="16"/>
      <c r="G905" s="17"/>
      <c r="H905" s="17"/>
      <c r="I905" s="17"/>
      <c r="J905" s="17"/>
      <c r="K905" s="17"/>
      <c r="L905" s="18" t="s">
        <v>1321</v>
      </c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</row>
    <row r="906" spans="1:80" ht="16.149999999999999" customHeight="1" x14ac:dyDescent="0.25">
      <c r="A906" s="16"/>
      <c r="B906" s="16"/>
      <c r="C906" s="16"/>
      <c r="D906" s="16"/>
      <c r="E906" s="16"/>
      <c r="F906" s="16"/>
      <c r="G906" s="17"/>
      <c r="H906" s="17"/>
      <c r="I906" s="17"/>
      <c r="J906" s="17"/>
      <c r="K906" s="17"/>
      <c r="L906" s="18" t="s">
        <v>1322</v>
      </c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</row>
    <row r="907" spans="1:80" ht="16.149999999999999" customHeight="1" x14ac:dyDescent="0.25">
      <c r="A907" s="16"/>
      <c r="B907" s="16"/>
      <c r="C907" s="16"/>
      <c r="D907" s="16"/>
      <c r="E907" s="16"/>
      <c r="F907" s="16"/>
      <c r="G907" s="17"/>
      <c r="H907" s="17"/>
      <c r="I907" s="17"/>
      <c r="J907" s="17"/>
      <c r="K907" s="17"/>
      <c r="L907" s="18" t="s">
        <v>1323</v>
      </c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</row>
    <row r="908" spans="1:80" ht="16.149999999999999" customHeight="1" x14ac:dyDescent="0.25">
      <c r="A908" s="16"/>
      <c r="B908" s="16"/>
      <c r="C908" s="16"/>
      <c r="D908" s="16"/>
      <c r="E908" s="16"/>
      <c r="F908" s="16"/>
      <c r="G908" s="17"/>
      <c r="H908" s="17"/>
      <c r="I908" s="17"/>
      <c r="J908" s="17"/>
      <c r="K908" s="17"/>
      <c r="L908" s="18" t="s">
        <v>1324</v>
      </c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</row>
    <row r="909" spans="1:80" ht="16.149999999999999" customHeight="1" x14ac:dyDescent="0.25">
      <c r="A909" s="16"/>
      <c r="B909" s="16"/>
      <c r="C909" s="16"/>
      <c r="D909" s="16"/>
      <c r="E909" s="16"/>
      <c r="F909" s="16"/>
      <c r="G909" s="17"/>
      <c r="H909" s="17"/>
      <c r="I909" s="17"/>
      <c r="J909" s="17"/>
      <c r="K909" s="17"/>
      <c r="L909" s="18" t="s">
        <v>1325</v>
      </c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</row>
    <row r="910" spans="1:80" ht="16.149999999999999" customHeight="1" x14ac:dyDescent="0.25">
      <c r="A910" s="16"/>
      <c r="B910" s="16"/>
      <c r="C910" s="16"/>
      <c r="D910" s="16"/>
      <c r="E910" s="16"/>
      <c r="F910" s="16"/>
      <c r="G910" s="17"/>
      <c r="H910" s="17"/>
      <c r="I910" s="17"/>
      <c r="J910" s="17"/>
      <c r="K910" s="17"/>
      <c r="L910" s="18" t="s">
        <v>1326</v>
      </c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</row>
    <row r="911" spans="1:80" ht="16.149999999999999" customHeight="1" x14ac:dyDescent="0.25">
      <c r="A911" s="16"/>
      <c r="B911" s="16"/>
      <c r="C911" s="16"/>
      <c r="D911" s="16"/>
      <c r="E911" s="16"/>
      <c r="F911" s="16"/>
      <c r="G911" s="17"/>
      <c r="H911" s="17"/>
      <c r="I911" s="17"/>
      <c r="J911" s="17"/>
      <c r="K911" s="17"/>
      <c r="L911" s="18" t="s">
        <v>1327</v>
      </c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</row>
    <row r="912" spans="1:80" ht="16.149999999999999" customHeight="1" x14ac:dyDescent="0.25">
      <c r="A912" s="16"/>
      <c r="B912" s="16"/>
      <c r="C912" s="16"/>
      <c r="D912" s="16"/>
      <c r="E912" s="16"/>
      <c r="F912" s="16"/>
      <c r="G912" s="17"/>
      <c r="H912" s="17"/>
      <c r="I912" s="17"/>
      <c r="J912" s="17"/>
      <c r="K912" s="17"/>
      <c r="L912" s="18" t="s">
        <v>1328</v>
      </c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</row>
    <row r="913" spans="1:80" ht="16.149999999999999" customHeight="1" x14ac:dyDescent="0.25">
      <c r="A913" s="16"/>
      <c r="B913" s="16"/>
      <c r="C913" s="16"/>
      <c r="D913" s="16"/>
      <c r="E913" s="16"/>
      <c r="F913" s="16"/>
      <c r="G913" s="17"/>
      <c r="H913" s="17"/>
      <c r="I913" s="17"/>
      <c r="J913" s="17"/>
      <c r="K913" s="17"/>
      <c r="L913" s="18" t="s">
        <v>1329</v>
      </c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</row>
    <row r="914" spans="1:80" ht="16.149999999999999" customHeight="1" x14ac:dyDescent="0.25">
      <c r="A914" s="16"/>
      <c r="B914" s="16"/>
      <c r="C914" s="16"/>
      <c r="D914" s="16"/>
      <c r="E914" s="16"/>
      <c r="F914" s="16"/>
      <c r="G914" s="17"/>
      <c r="H914" s="17"/>
      <c r="I914" s="17"/>
      <c r="J914" s="17"/>
      <c r="K914" s="17"/>
      <c r="L914" s="18" t="s">
        <v>1330</v>
      </c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6"/>
      <c r="AW914" s="16"/>
      <c r="AX914" s="16"/>
      <c r="AY914" s="16"/>
      <c r="AZ914" s="16"/>
      <c r="BA914" s="16"/>
      <c r="BB914" s="16"/>
      <c r="BC914" s="16"/>
      <c r="BD914" s="16"/>
      <c r="BE914" s="16"/>
      <c r="BF914" s="16"/>
      <c r="BG914" s="16"/>
      <c r="BH914" s="16"/>
      <c r="BI914" s="16"/>
      <c r="BJ914" s="16"/>
      <c r="BK914" s="16"/>
      <c r="BL914" s="16"/>
      <c r="BM914" s="16"/>
      <c r="BN914" s="16"/>
      <c r="BO914" s="16"/>
      <c r="BP914" s="16"/>
      <c r="BQ914" s="16"/>
      <c r="BR914" s="16"/>
      <c r="BS914" s="16"/>
      <c r="BT914" s="16"/>
      <c r="BU914" s="16"/>
      <c r="BV914" s="16"/>
      <c r="BW914" s="16"/>
      <c r="BX914" s="16"/>
      <c r="BY914" s="16"/>
      <c r="BZ914" s="16"/>
      <c r="CA914" s="16"/>
      <c r="CB914" s="16"/>
    </row>
    <row r="915" spans="1:80" ht="16.149999999999999" customHeight="1" x14ac:dyDescent="0.25">
      <c r="A915" s="16"/>
      <c r="B915" s="16"/>
      <c r="C915" s="16"/>
      <c r="D915" s="16"/>
      <c r="E915" s="16"/>
      <c r="F915" s="16"/>
      <c r="G915" s="17"/>
      <c r="H915" s="17"/>
      <c r="I915" s="17"/>
      <c r="J915" s="17"/>
      <c r="K915" s="17"/>
      <c r="L915" s="18" t="s">
        <v>1331</v>
      </c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</row>
    <row r="916" spans="1:80" ht="16.149999999999999" customHeight="1" x14ac:dyDescent="0.25">
      <c r="A916" s="16"/>
      <c r="B916" s="16"/>
      <c r="C916" s="16"/>
      <c r="D916" s="16"/>
      <c r="E916" s="16"/>
      <c r="F916" s="16"/>
      <c r="G916" s="17"/>
      <c r="H916" s="17"/>
      <c r="I916" s="17"/>
      <c r="J916" s="17"/>
      <c r="K916" s="17"/>
      <c r="L916" s="18" t="s">
        <v>1332</v>
      </c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6"/>
      <c r="AW916" s="16"/>
      <c r="AX916" s="16"/>
      <c r="AY916" s="16"/>
      <c r="AZ916" s="16"/>
      <c r="BA916" s="16"/>
      <c r="BB916" s="16"/>
      <c r="BC916" s="16"/>
      <c r="BD916" s="16"/>
      <c r="BE916" s="16"/>
      <c r="BF916" s="16"/>
      <c r="BG916" s="16"/>
      <c r="BH916" s="16"/>
      <c r="BI916" s="16"/>
      <c r="BJ916" s="16"/>
      <c r="BK916" s="16"/>
      <c r="BL916" s="16"/>
      <c r="BM916" s="16"/>
      <c r="BN916" s="16"/>
      <c r="BO916" s="16"/>
      <c r="BP916" s="16"/>
      <c r="BQ916" s="16"/>
      <c r="BR916" s="16"/>
      <c r="BS916" s="16"/>
      <c r="BT916" s="16"/>
      <c r="BU916" s="16"/>
      <c r="BV916" s="16"/>
      <c r="BW916" s="16"/>
      <c r="BX916" s="16"/>
      <c r="BY916" s="16"/>
      <c r="BZ916" s="16"/>
      <c r="CA916" s="16"/>
      <c r="CB916" s="16"/>
    </row>
    <row r="917" spans="1:80" ht="16.149999999999999" customHeight="1" x14ac:dyDescent="0.25">
      <c r="A917" s="16"/>
      <c r="B917" s="16"/>
      <c r="C917" s="16"/>
      <c r="D917" s="16"/>
      <c r="E917" s="16"/>
      <c r="F917" s="16"/>
      <c r="G917" s="17"/>
      <c r="H917" s="17"/>
      <c r="I917" s="17"/>
      <c r="J917" s="17"/>
      <c r="K917" s="17"/>
      <c r="L917" s="18" t="s">
        <v>1333</v>
      </c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</row>
    <row r="918" spans="1:80" ht="16.149999999999999" customHeight="1" x14ac:dyDescent="0.25">
      <c r="A918" s="16"/>
      <c r="B918" s="16"/>
      <c r="C918" s="16"/>
      <c r="D918" s="16"/>
      <c r="E918" s="16"/>
      <c r="F918" s="16"/>
      <c r="G918" s="17"/>
      <c r="H918" s="17"/>
      <c r="I918" s="17"/>
      <c r="J918" s="17"/>
      <c r="K918" s="17"/>
      <c r="L918" s="18" t="s">
        <v>1334</v>
      </c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</row>
    <row r="919" spans="1:80" ht="16.149999999999999" customHeight="1" x14ac:dyDescent="0.25">
      <c r="A919" s="16"/>
      <c r="B919" s="16"/>
      <c r="C919" s="16"/>
      <c r="D919" s="16"/>
      <c r="E919" s="16"/>
      <c r="F919" s="16"/>
      <c r="G919" s="17"/>
      <c r="H919" s="17"/>
      <c r="I919" s="17"/>
      <c r="J919" s="17"/>
      <c r="K919" s="17"/>
      <c r="L919" s="18" t="s">
        <v>1335</v>
      </c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6"/>
      <c r="AW919" s="16"/>
      <c r="AX919" s="16"/>
      <c r="AY919" s="16"/>
      <c r="AZ919" s="16"/>
      <c r="BA919" s="16"/>
      <c r="BB919" s="16"/>
      <c r="BC919" s="16"/>
      <c r="BD919" s="16"/>
      <c r="BE919" s="16"/>
      <c r="BF919" s="16"/>
      <c r="BG919" s="16"/>
      <c r="BH919" s="16"/>
      <c r="BI919" s="16"/>
      <c r="BJ919" s="16"/>
      <c r="BK919" s="16"/>
      <c r="BL919" s="16"/>
      <c r="BM919" s="16"/>
      <c r="BN919" s="16"/>
      <c r="BO919" s="16"/>
      <c r="BP919" s="16"/>
      <c r="BQ919" s="16"/>
      <c r="BR919" s="16"/>
      <c r="BS919" s="16"/>
      <c r="BT919" s="16"/>
      <c r="BU919" s="16"/>
      <c r="BV919" s="16"/>
      <c r="BW919" s="16"/>
      <c r="BX919" s="16"/>
      <c r="BY919" s="16"/>
      <c r="BZ919" s="16"/>
      <c r="CA919" s="16"/>
      <c r="CB919" s="16"/>
    </row>
    <row r="920" spans="1:80" ht="16.149999999999999" customHeight="1" x14ac:dyDescent="0.25">
      <c r="A920" s="16"/>
      <c r="B920" s="16"/>
      <c r="C920" s="16"/>
      <c r="D920" s="16"/>
      <c r="E920" s="16"/>
      <c r="F920" s="16"/>
      <c r="G920" s="17"/>
      <c r="H920" s="17"/>
      <c r="I920" s="17"/>
      <c r="J920" s="17"/>
      <c r="K920" s="17"/>
      <c r="L920" s="18" t="s">
        <v>1336</v>
      </c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</row>
    <row r="921" spans="1:80" ht="16.149999999999999" customHeight="1" x14ac:dyDescent="0.25">
      <c r="A921" s="16"/>
      <c r="B921" s="16"/>
      <c r="C921" s="16"/>
      <c r="D921" s="16"/>
      <c r="E921" s="16"/>
      <c r="F921" s="16"/>
      <c r="G921" s="17"/>
      <c r="H921" s="17"/>
      <c r="I921" s="17"/>
      <c r="J921" s="17"/>
      <c r="K921" s="17"/>
      <c r="L921" s="18" t="s">
        <v>1337</v>
      </c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6"/>
      <c r="AW921" s="16"/>
      <c r="AX921" s="16"/>
      <c r="AY921" s="16"/>
      <c r="AZ921" s="16"/>
      <c r="BA921" s="16"/>
      <c r="BB921" s="16"/>
      <c r="BC921" s="16"/>
      <c r="BD921" s="16"/>
      <c r="BE921" s="16"/>
      <c r="BF921" s="16"/>
      <c r="BG921" s="16"/>
      <c r="BH921" s="16"/>
      <c r="BI921" s="16"/>
      <c r="BJ921" s="16"/>
      <c r="BK921" s="16"/>
      <c r="BL921" s="16"/>
      <c r="BM921" s="16"/>
      <c r="BN921" s="16"/>
      <c r="BO921" s="16"/>
      <c r="BP921" s="16"/>
      <c r="BQ921" s="16"/>
      <c r="BR921" s="16"/>
      <c r="BS921" s="16"/>
      <c r="BT921" s="16"/>
      <c r="BU921" s="16"/>
      <c r="BV921" s="16"/>
      <c r="BW921" s="16"/>
      <c r="BX921" s="16"/>
      <c r="BY921" s="16"/>
      <c r="BZ921" s="16"/>
      <c r="CA921" s="16"/>
      <c r="CB921" s="16"/>
    </row>
    <row r="922" spans="1:80" ht="16.149999999999999" customHeight="1" x14ac:dyDescent="0.25">
      <c r="A922" s="16"/>
      <c r="B922" s="16"/>
      <c r="C922" s="16"/>
      <c r="D922" s="16"/>
      <c r="E922" s="16"/>
      <c r="F922" s="16"/>
      <c r="G922" s="17"/>
      <c r="H922" s="17"/>
      <c r="I922" s="17"/>
      <c r="J922" s="17"/>
      <c r="K922" s="17"/>
      <c r="L922" s="18" t="s">
        <v>1338</v>
      </c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</row>
    <row r="923" spans="1:80" ht="16.149999999999999" customHeight="1" x14ac:dyDescent="0.25">
      <c r="A923" s="16"/>
      <c r="B923" s="16"/>
      <c r="C923" s="16"/>
      <c r="D923" s="16"/>
      <c r="E923" s="16"/>
      <c r="F923" s="16"/>
      <c r="G923" s="17"/>
      <c r="H923" s="17"/>
      <c r="I923" s="17"/>
      <c r="J923" s="17"/>
      <c r="K923" s="17"/>
      <c r="L923" s="18" t="s">
        <v>1339</v>
      </c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6"/>
      <c r="AW923" s="16"/>
      <c r="AX923" s="16"/>
      <c r="AY923" s="16"/>
      <c r="AZ923" s="16"/>
      <c r="BA923" s="16"/>
      <c r="BB923" s="16"/>
      <c r="BC923" s="16"/>
      <c r="BD923" s="16"/>
      <c r="BE923" s="16"/>
      <c r="BF923" s="16"/>
      <c r="BG923" s="16"/>
      <c r="BH923" s="16"/>
      <c r="BI923" s="16"/>
      <c r="BJ923" s="16"/>
      <c r="BK923" s="16"/>
      <c r="BL923" s="16"/>
      <c r="BM923" s="16"/>
      <c r="BN923" s="16"/>
      <c r="BO923" s="16"/>
      <c r="BP923" s="16"/>
      <c r="BQ923" s="16"/>
      <c r="BR923" s="16"/>
      <c r="BS923" s="16"/>
      <c r="BT923" s="16"/>
      <c r="BU923" s="16"/>
      <c r="BV923" s="16"/>
      <c r="BW923" s="16"/>
      <c r="BX923" s="16"/>
      <c r="BY923" s="16"/>
      <c r="BZ923" s="16"/>
      <c r="CA923" s="16"/>
      <c r="CB923" s="16"/>
    </row>
    <row r="924" spans="1:80" ht="16.149999999999999" customHeight="1" x14ac:dyDescent="0.25">
      <c r="A924" s="16"/>
      <c r="B924" s="16"/>
      <c r="C924" s="16"/>
      <c r="D924" s="16"/>
      <c r="E924" s="16"/>
      <c r="F924" s="16"/>
      <c r="G924" s="17"/>
      <c r="H924" s="17"/>
      <c r="I924" s="17"/>
      <c r="J924" s="17"/>
      <c r="K924" s="17"/>
      <c r="L924" s="18" t="s">
        <v>1340</v>
      </c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</row>
    <row r="925" spans="1:80" ht="16.149999999999999" customHeight="1" x14ac:dyDescent="0.25">
      <c r="A925" s="16"/>
      <c r="B925" s="16"/>
      <c r="C925" s="16"/>
      <c r="D925" s="16"/>
      <c r="E925" s="16"/>
      <c r="F925" s="16"/>
      <c r="G925" s="17"/>
      <c r="H925" s="17"/>
      <c r="I925" s="17"/>
      <c r="J925" s="17"/>
      <c r="K925" s="17"/>
      <c r="L925" s="18" t="s">
        <v>1341</v>
      </c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6"/>
      <c r="AW925" s="16"/>
      <c r="AX925" s="16"/>
      <c r="AY925" s="16"/>
      <c r="AZ925" s="16"/>
      <c r="BA925" s="16"/>
      <c r="BB925" s="16"/>
      <c r="BC925" s="16"/>
      <c r="BD925" s="16"/>
      <c r="BE925" s="16"/>
      <c r="BF925" s="16"/>
      <c r="BG925" s="16"/>
      <c r="BH925" s="16"/>
      <c r="BI925" s="16"/>
      <c r="BJ925" s="16"/>
      <c r="BK925" s="16"/>
      <c r="BL925" s="16"/>
      <c r="BM925" s="16"/>
      <c r="BN925" s="16"/>
      <c r="BO925" s="16"/>
      <c r="BP925" s="16"/>
      <c r="BQ925" s="16"/>
      <c r="BR925" s="16"/>
      <c r="BS925" s="16"/>
      <c r="BT925" s="16"/>
      <c r="BU925" s="16"/>
      <c r="BV925" s="16"/>
      <c r="BW925" s="16"/>
      <c r="BX925" s="16"/>
      <c r="BY925" s="16"/>
      <c r="BZ925" s="16"/>
      <c r="CA925" s="16"/>
      <c r="CB925" s="16"/>
    </row>
    <row r="926" spans="1:80" ht="16.149999999999999" customHeight="1" x14ac:dyDescent="0.25">
      <c r="A926" s="16"/>
      <c r="B926" s="16"/>
      <c r="C926" s="16"/>
      <c r="D926" s="16"/>
      <c r="E926" s="16"/>
      <c r="F926" s="16"/>
      <c r="G926" s="17"/>
      <c r="H926" s="17"/>
      <c r="I926" s="17"/>
      <c r="J926" s="17"/>
      <c r="K926" s="17"/>
      <c r="L926" s="18" t="s">
        <v>1342</v>
      </c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</row>
    <row r="927" spans="1:80" ht="16.149999999999999" customHeight="1" x14ac:dyDescent="0.25">
      <c r="A927" s="16"/>
      <c r="B927" s="16"/>
      <c r="C927" s="16"/>
      <c r="D927" s="16"/>
      <c r="E927" s="16"/>
      <c r="F927" s="16"/>
      <c r="G927" s="17"/>
      <c r="H927" s="17"/>
      <c r="I927" s="17"/>
      <c r="J927" s="17"/>
      <c r="K927" s="17"/>
      <c r="L927" s="18" t="s">
        <v>1343</v>
      </c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6"/>
      <c r="AW927" s="16"/>
      <c r="AX927" s="16"/>
      <c r="AY927" s="16"/>
      <c r="AZ927" s="16"/>
      <c r="BA927" s="16"/>
      <c r="BB927" s="16"/>
      <c r="BC927" s="16"/>
      <c r="BD927" s="16"/>
      <c r="BE927" s="16"/>
      <c r="BF927" s="16"/>
      <c r="BG927" s="16"/>
      <c r="BH927" s="16"/>
      <c r="BI927" s="16"/>
      <c r="BJ927" s="16"/>
      <c r="BK927" s="16"/>
      <c r="BL927" s="16"/>
      <c r="BM927" s="16"/>
      <c r="BN927" s="16"/>
      <c r="BO927" s="16"/>
      <c r="BP927" s="16"/>
      <c r="BQ927" s="16"/>
      <c r="BR927" s="16"/>
      <c r="BS927" s="16"/>
      <c r="BT927" s="16"/>
      <c r="BU927" s="16"/>
      <c r="BV927" s="16"/>
      <c r="BW927" s="16"/>
      <c r="BX927" s="16"/>
      <c r="BY927" s="16"/>
      <c r="BZ927" s="16"/>
      <c r="CA927" s="16"/>
      <c r="CB927" s="16"/>
    </row>
    <row r="928" spans="1:80" ht="16.149999999999999" customHeight="1" x14ac:dyDescent="0.25">
      <c r="A928" s="16"/>
      <c r="B928" s="16"/>
      <c r="C928" s="16"/>
      <c r="D928" s="16"/>
      <c r="E928" s="16"/>
      <c r="F928" s="16"/>
      <c r="G928" s="17"/>
      <c r="H928" s="17"/>
      <c r="I928" s="17"/>
      <c r="J928" s="17"/>
      <c r="K928" s="17"/>
      <c r="L928" s="18" t="s">
        <v>1344</v>
      </c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</row>
    <row r="929" spans="1:80" ht="16.149999999999999" customHeight="1" x14ac:dyDescent="0.25">
      <c r="A929" s="16"/>
      <c r="B929" s="16"/>
      <c r="C929" s="16"/>
      <c r="D929" s="16"/>
      <c r="E929" s="16"/>
      <c r="F929" s="16"/>
      <c r="G929" s="17"/>
      <c r="H929" s="17"/>
      <c r="I929" s="17"/>
      <c r="J929" s="17"/>
      <c r="K929" s="17"/>
      <c r="L929" s="18" t="s">
        <v>1345</v>
      </c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6"/>
      <c r="AW929" s="16"/>
      <c r="AX929" s="16"/>
      <c r="AY929" s="16"/>
      <c r="AZ929" s="16"/>
      <c r="BA929" s="16"/>
      <c r="BB929" s="16"/>
      <c r="BC929" s="16"/>
      <c r="BD929" s="16"/>
      <c r="BE929" s="16"/>
      <c r="BF929" s="16"/>
      <c r="BG929" s="16"/>
      <c r="BH929" s="16"/>
      <c r="BI929" s="16"/>
      <c r="BJ929" s="16"/>
      <c r="BK929" s="16"/>
      <c r="BL929" s="16"/>
      <c r="BM929" s="16"/>
      <c r="BN929" s="16"/>
      <c r="BO929" s="16"/>
      <c r="BP929" s="16"/>
      <c r="BQ929" s="16"/>
      <c r="BR929" s="16"/>
      <c r="BS929" s="16"/>
      <c r="BT929" s="16"/>
      <c r="BU929" s="16"/>
      <c r="BV929" s="16"/>
      <c r="BW929" s="16"/>
      <c r="BX929" s="16"/>
      <c r="BY929" s="16"/>
      <c r="BZ929" s="16"/>
      <c r="CA929" s="16"/>
      <c r="CB929" s="16"/>
    </row>
    <row r="930" spans="1:80" ht="16.149999999999999" customHeight="1" x14ac:dyDescent="0.25">
      <c r="A930" s="16"/>
      <c r="B930" s="16"/>
      <c r="C930" s="16"/>
      <c r="D930" s="16"/>
      <c r="E930" s="16"/>
      <c r="F930" s="16"/>
      <c r="G930" s="17"/>
      <c r="H930" s="17"/>
      <c r="I930" s="17"/>
      <c r="J930" s="17"/>
      <c r="K930" s="17"/>
      <c r="L930" s="18" t="s">
        <v>1346</v>
      </c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</row>
    <row r="931" spans="1:80" ht="16.149999999999999" customHeight="1" x14ac:dyDescent="0.25">
      <c r="A931" s="16"/>
      <c r="B931" s="16"/>
      <c r="C931" s="16"/>
      <c r="D931" s="16"/>
      <c r="E931" s="16"/>
      <c r="F931" s="16"/>
      <c r="G931" s="17"/>
      <c r="H931" s="17"/>
      <c r="I931" s="17"/>
      <c r="J931" s="17"/>
      <c r="K931" s="17"/>
      <c r="L931" s="18" t="s">
        <v>1347</v>
      </c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6"/>
      <c r="AW931" s="16"/>
      <c r="AX931" s="16"/>
      <c r="AY931" s="16"/>
      <c r="AZ931" s="16"/>
      <c r="BA931" s="16"/>
      <c r="BB931" s="16"/>
      <c r="BC931" s="16"/>
      <c r="BD931" s="16"/>
      <c r="BE931" s="16"/>
      <c r="BF931" s="16"/>
      <c r="BG931" s="16"/>
      <c r="BH931" s="16"/>
      <c r="BI931" s="16"/>
      <c r="BJ931" s="16"/>
      <c r="BK931" s="16"/>
      <c r="BL931" s="16"/>
      <c r="BM931" s="16"/>
      <c r="BN931" s="16"/>
      <c r="BO931" s="16"/>
      <c r="BP931" s="16"/>
      <c r="BQ931" s="16"/>
      <c r="BR931" s="16"/>
      <c r="BS931" s="16"/>
      <c r="BT931" s="16"/>
      <c r="BU931" s="16"/>
      <c r="BV931" s="16"/>
      <c r="BW931" s="16"/>
      <c r="BX931" s="16"/>
      <c r="BY931" s="16"/>
      <c r="BZ931" s="16"/>
      <c r="CA931" s="16"/>
      <c r="CB931" s="16"/>
    </row>
    <row r="932" spans="1:80" ht="16.149999999999999" customHeight="1" x14ac:dyDescent="0.25">
      <c r="A932" s="16"/>
      <c r="B932" s="16"/>
      <c r="C932" s="16"/>
      <c r="D932" s="16"/>
      <c r="E932" s="16"/>
      <c r="F932" s="16"/>
      <c r="G932" s="17"/>
      <c r="H932" s="17"/>
      <c r="I932" s="17"/>
      <c r="J932" s="17"/>
      <c r="K932" s="17"/>
      <c r="L932" s="18" t="s">
        <v>1348</v>
      </c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</row>
    <row r="933" spans="1:80" ht="16.149999999999999" customHeight="1" x14ac:dyDescent="0.25">
      <c r="A933" s="16"/>
      <c r="B933" s="16"/>
      <c r="C933" s="16"/>
      <c r="D933" s="16"/>
      <c r="E933" s="16"/>
      <c r="F933" s="16"/>
      <c r="G933" s="17"/>
      <c r="H933" s="17"/>
      <c r="I933" s="17"/>
      <c r="J933" s="17"/>
      <c r="K933" s="17"/>
      <c r="L933" s="18" t="s">
        <v>1349</v>
      </c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6"/>
      <c r="AW933" s="16"/>
      <c r="AX933" s="16"/>
      <c r="AY933" s="16"/>
      <c r="AZ933" s="16"/>
      <c r="BA933" s="16"/>
      <c r="BB933" s="16"/>
      <c r="BC933" s="16"/>
      <c r="BD933" s="16"/>
      <c r="BE933" s="16"/>
      <c r="BF933" s="16"/>
      <c r="BG933" s="16"/>
      <c r="BH933" s="16"/>
      <c r="BI933" s="16"/>
      <c r="BJ933" s="16"/>
      <c r="BK933" s="16"/>
      <c r="BL933" s="16"/>
      <c r="BM933" s="16"/>
      <c r="BN933" s="16"/>
      <c r="BO933" s="16"/>
      <c r="BP933" s="16"/>
      <c r="BQ933" s="16"/>
      <c r="BR933" s="16"/>
      <c r="BS933" s="16"/>
      <c r="BT933" s="16"/>
      <c r="BU933" s="16"/>
      <c r="BV933" s="16"/>
      <c r="BW933" s="16"/>
      <c r="BX933" s="16"/>
      <c r="BY933" s="16"/>
      <c r="BZ933" s="16"/>
      <c r="CA933" s="16"/>
      <c r="CB933" s="16"/>
    </row>
    <row r="934" spans="1:80" ht="16.149999999999999" customHeight="1" x14ac:dyDescent="0.25">
      <c r="A934" s="16"/>
      <c r="B934" s="16"/>
      <c r="C934" s="16"/>
      <c r="D934" s="16"/>
      <c r="E934" s="16"/>
      <c r="F934" s="16"/>
      <c r="G934" s="17"/>
      <c r="H934" s="17"/>
      <c r="I934" s="17"/>
      <c r="J934" s="17"/>
      <c r="K934" s="17"/>
      <c r="L934" s="18" t="s">
        <v>1350</v>
      </c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6"/>
      <c r="AW934" s="16"/>
      <c r="AX934" s="16"/>
      <c r="AY934" s="16"/>
      <c r="AZ934" s="16"/>
      <c r="BA934" s="16"/>
      <c r="BB934" s="16"/>
      <c r="BC934" s="16"/>
      <c r="BD934" s="16"/>
      <c r="BE934" s="16"/>
      <c r="BF934" s="16"/>
      <c r="BG934" s="16"/>
      <c r="BH934" s="16"/>
      <c r="BI934" s="16"/>
      <c r="BJ934" s="16"/>
      <c r="BK934" s="16"/>
      <c r="BL934" s="16"/>
      <c r="BM934" s="16"/>
      <c r="BN934" s="16"/>
      <c r="BO934" s="16"/>
      <c r="BP934" s="16"/>
      <c r="BQ934" s="16"/>
      <c r="BR934" s="16"/>
      <c r="BS934" s="16"/>
      <c r="BT934" s="16"/>
      <c r="BU934" s="16"/>
      <c r="BV934" s="16"/>
      <c r="BW934" s="16"/>
      <c r="BX934" s="16"/>
      <c r="BY934" s="16"/>
      <c r="BZ934" s="16"/>
      <c r="CA934" s="16"/>
      <c r="CB934" s="16"/>
    </row>
    <row r="935" spans="1:80" ht="16.149999999999999" customHeight="1" x14ac:dyDescent="0.25">
      <c r="A935" s="16"/>
      <c r="B935" s="16"/>
      <c r="C935" s="16"/>
      <c r="D935" s="16"/>
      <c r="E935" s="16"/>
      <c r="F935" s="16"/>
      <c r="G935" s="17"/>
      <c r="H935" s="17"/>
      <c r="I935" s="17"/>
      <c r="J935" s="17"/>
      <c r="K935" s="17"/>
      <c r="L935" s="18" t="s">
        <v>1351</v>
      </c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</row>
    <row r="936" spans="1:80" ht="16.149999999999999" customHeight="1" x14ac:dyDescent="0.25">
      <c r="A936" s="16"/>
      <c r="B936" s="16"/>
      <c r="C936" s="16"/>
      <c r="D936" s="16"/>
      <c r="E936" s="16"/>
      <c r="F936" s="16"/>
      <c r="G936" s="17"/>
      <c r="H936" s="17"/>
      <c r="I936" s="17"/>
      <c r="J936" s="17"/>
      <c r="K936" s="17"/>
      <c r="L936" s="18" t="s">
        <v>1352</v>
      </c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6"/>
      <c r="AW936" s="16"/>
      <c r="AX936" s="16"/>
      <c r="AY936" s="16"/>
      <c r="AZ936" s="16"/>
      <c r="BA936" s="16"/>
      <c r="BB936" s="16"/>
      <c r="BC936" s="16"/>
      <c r="BD936" s="16"/>
      <c r="BE936" s="16"/>
      <c r="BF936" s="16"/>
      <c r="BG936" s="16"/>
      <c r="BH936" s="16"/>
      <c r="BI936" s="16"/>
      <c r="BJ936" s="16"/>
      <c r="BK936" s="16"/>
      <c r="BL936" s="16"/>
      <c r="BM936" s="16"/>
      <c r="BN936" s="16"/>
      <c r="BO936" s="16"/>
      <c r="BP936" s="16"/>
      <c r="BQ936" s="16"/>
      <c r="BR936" s="16"/>
      <c r="BS936" s="16"/>
      <c r="BT936" s="16"/>
      <c r="BU936" s="16"/>
      <c r="BV936" s="16"/>
      <c r="BW936" s="16"/>
      <c r="BX936" s="16"/>
      <c r="BY936" s="16"/>
      <c r="BZ936" s="16"/>
      <c r="CA936" s="16"/>
      <c r="CB936" s="16"/>
    </row>
    <row r="937" spans="1:80" ht="16.149999999999999" customHeight="1" x14ac:dyDescent="0.25">
      <c r="A937" s="16"/>
      <c r="B937" s="16"/>
      <c r="C937" s="16"/>
      <c r="D937" s="16"/>
      <c r="E937" s="16"/>
      <c r="F937" s="16"/>
      <c r="G937" s="17"/>
      <c r="H937" s="17"/>
      <c r="I937" s="17"/>
      <c r="J937" s="17"/>
      <c r="K937" s="17"/>
      <c r="L937" s="18" t="s">
        <v>1353</v>
      </c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</row>
    <row r="938" spans="1:80" ht="16.149999999999999" customHeight="1" x14ac:dyDescent="0.25">
      <c r="A938" s="16"/>
      <c r="B938" s="16"/>
      <c r="C938" s="16"/>
      <c r="D938" s="16"/>
      <c r="E938" s="16"/>
      <c r="F938" s="16"/>
      <c r="G938" s="17"/>
      <c r="H938" s="17"/>
      <c r="I938" s="17"/>
      <c r="J938" s="17"/>
      <c r="K938" s="17"/>
      <c r="L938" s="18" t="s">
        <v>1354</v>
      </c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6"/>
      <c r="AW938" s="16"/>
      <c r="AX938" s="16"/>
      <c r="AY938" s="16"/>
      <c r="AZ938" s="16"/>
      <c r="BA938" s="16"/>
      <c r="BB938" s="16"/>
      <c r="BC938" s="16"/>
      <c r="BD938" s="16"/>
      <c r="BE938" s="16"/>
      <c r="BF938" s="16"/>
      <c r="BG938" s="16"/>
      <c r="BH938" s="16"/>
      <c r="BI938" s="16"/>
      <c r="BJ938" s="16"/>
      <c r="BK938" s="16"/>
      <c r="BL938" s="16"/>
      <c r="BM938" s="16"/>
      <c r="BN938" s="16"/>
      <c r="BO938" s="16"/>
      <c r="BP938" s="16"/>
      <c r="BQ938" s="16"/>
      <c r="BR938" s="16"/>
      <c r="BS938" s="16"/>
      <c r="BT938" s="16"/>
      <c r="BU938" s="16"/>
      <c r="BV938" s="16"/>
      <c r="BW938" s="16"/>
      <c r="BX938" s="16"/>
      <c r="BY938" s="16"/>
      <c r="BZ938" s="16"/>
      <c r="CA938" s="16"/>
      <c r="CB938" s="16"/>
    </row>
    <row r="939" spans="1:80" ht="16.149999999999999" customHeight="1" x14ac:dyDescent="0.25">
      <c r="A939" s="16"/>
      <c r="B939" s="16"/>
      <c r="C939" s="16"/>
      <c r="D939" s="16"/>
      <c r="E939" s="16"/>
      <c r="F939" s="16"/>
      <c r="G939" s="17"/>
      <c r="H939" s="17"/>
      <c r="I939" s="17"/>
      <c r="J939" s="17"/>
      <c r="K939" s="17"/>
      <c r="L939" s="18" t="s">
        <v>1355</v>
      </c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</row>
    <row r="940" spans="1:80" ht="16.149999999999999" customHeight="1" x14ac:dyDescent="0.25">
      <c r="A940" s="16"/>
      <c r="B940" s="16"/>
      <c r="C940" s="16"/>
      <c r="D940" s="16"/>
      <c r="E940" s="16"/>
      <c r="F940" s="16"/>
      <c r="G940" s="17"/>
      <c r="H940" s="17"/>
      <c r="I940" s="17"/>
      <c r="J940" s="17"/>
      <c r="K940" s="17"/>
      <c r="L940" s="18" t="s">
        <v>1356</v>
      </c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6"/>
      <c r="AW940" s="16"/>
      <c r="AX940" s="16"/>
      <c r="AY940" s="16"/>
      <c r="AZ940" s="16"/>
      <c r="BA940" s="16"/>
      <c r="BB940" s="16"/>
      <c r="BC940" s="16"/>
      <c r="BD940" s="16"/>
      <c r="BE940" s="16"/>
      <c r="BF940" s="16"/>
      <c r="BG940" s="16"/>
      <c r="BH940" s="16"/>
      <c r="BI940" s="16"/>
      <c r="BJ940" s="16"/>
      <c r="BK940" s="16"/>
      <c r="BL940" s="16"/>
      <c r="BM940" s="16"/>
      <c r="BN940" s="16"/>
      <c r="BO940" s="16"/>
      <c r="BP940" s="16"/>
      <c r="BQ940" s="16"/>
      <c r="BR940" s="16"/>
      <c r="BS940" s="16"/>
      <c r="BT940" s="16"/>
      <c r="BU940" s="16"/>
      <c r="BV940" s="16"/>
      <c r="BW940" s="16"/>
      <c r="BX940" s="16"/>
      <c r="BY940" s="16"/>
      <c r="BZ940" s="16"/>
      <c r="CA940" s="16"/>
      <c r="CB940" s="16"/>
    </row>
    <row r="941" spans="1:80" ht="16.149999999999999" customHeight="1" x14ac:dyDescent="0.25">
      <c r="A941" s="16"/>
      <c r="B941" s="16"/>
      <c r="C941" s="16"/>
      <c r="D941" s="16"/>
      <c r="E941" s="16"/>
      <c r="F941" s="16"/>
      <c r="G941" s="17"/>
      <c r="H941" s="17"/>
      <c r="I941" s="17"/>
      <c r="J941" s="17"/>
      <c r="K941" s="17"/>
      <c r="L941" s="18" t="s">
        <v>1357</v>
      </c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</row>
    <row r="942" spans="1:80" ht="16.149999999999999" customHeight="1" x14ac:dyDescent="0.25">
      <c r="A942" s="16"/>
      <c r="B942" s="16"/>
      <c r="C942" s="16"/>
      <c r="D942" s="16"/>
      <c r="E942" s="16"/>
      <c r="F942" s="16"/>
      <c r="G942" s="17"/>
      <c r="H942" s="17"/>
      <c r="I942" s="17"/>
      <c r="J942" s="17"/>
      <c r="K942" s="17"/>
      <c r="L942" s="18" t="s">
        <v>1358</v>
      </c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6"/>
      <c r="AW942" s="16"/>
      <c r="AX942" s="16"/>
      <c r="AY942" s="16"/>
      <c r="AZ942" s="16"/>
      <c r="BA942" s="16"/>
      <c r="BB942" s="16"/>
      <c r="BC942" s="16"/>
      <c r="BD942" s="16"/>
      <c r="BE942" s="16"/>
      <c r="BF942" s="16"/>
      <c r="BG942" s="16"/>
      <c r="BH942" s="16"/>
      <c r="BI942" s="16"/>
      <c r="BJ942" s="16"/>
      <c r="BK942" s="16"/>
      <c r="BL942" s="16"/>
      <c r="BM942" s="16"/>
      <c r="BN942" s="16"/>
      <c r="BO942" s="16"/>
      <c r="BP942" s="16"/>
      <c r="BQ942" s="16"/>
      <c r="BR942" s="16"/>
      <c r="BS942" s="16"/>
      <c r="BT942" s="16"/>
      <c r="BU942" s="16"/>
      <c r="BV942" s="16"/>
      <c r="BW942" s="16"/>
      <c r="BX942" s="16"/>
      <c r="BY942" s="16"/>
      <c r="BZ942" s="16"/>
      <c r="CA942" s="16"/>
      <c r="CB942" s="16"/>
    </row>
    <row r="943" spans="1:80" ht="16.149999999999999" customHeight="1" x14ac:dyDescent="0.25">
      <c r="A943" s="16"/>
      <c r="B943" s="16"/>
      <c r="C943" s="16"/>
      <c r="D943" s="16"/>
      <c r="E943" s="16"/>
      <c r="F943" s="16"/>
      <c r="G943" s="17"/>
      <c r="H943" s="17"/>
      <c r="I943" s="17"/>
      <c r="J943" s="17"/>
      <c r="K943" s="17"/>
      <c r="L943" s="18" t="s">
        <v>1359</v>
      </c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</row>
    <row r="944" spans="1:80" ht="16.149999999999999" customHeight="1" x14ac:dyDescent="0.25">
      <c r="A944" s="16"/>
      <c r="B944" s="16"/>
      <c r="C944" s="16"/>
      <c r="D944" s="16"/>
      <c r="E944" s="16"/>
      <c r="F944" s="16"/>
      <c r="G944" s="17"/>
      <c r="H944" s="17"/>
      <c r="I944" s="17"/>
      <c r="J944" s="17"/>
      <c r="K944" s="17"/>
      <c r="L944" s="18" t="s">
        <v>1360</v>
      </c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6"/>
      <c r="AW944" s="16"/>
      <c r="AX944" s="16"/>
      <c r="AY944" s="16"/>
      <c r="AZ944" s="16"/>
      <c r="BA944" s="16"/>
      <c r="BB944" s="16"/>
      <c r="BC944" s="16"/>
      <c r="BD944" s="16"/>
      <c r="BE944" s="16"/>
      <c r="BF944" s="16"/>
      <c r="BG944" s="16"/>
      <c r="BH944" s="16"/>
      <c r="BI944" s="16"/>
      <c r="BJ944" s="16"/>
      <c r="BK944" s="16"/>
      <c r="BL944" s="16"/>
      <c r="BM944" s="16"/>
      <c r="BN944" s="16"/>
      <c r="BO944" s="16"/>
      <c r="BP944" s="16"/>
      <c r="BQ944" s="16"/>
      <c r="BR944" s="16"/>
      <c r="BS944" s="16"/>
      <c r="BT944" s="16"/>
      <c r="BU944" s="16"/>
      <c r="BV944" s="16"/>
      <c r="BW944" s="16"/>
      <c r="BX944" s="16"/>
      <c r="BY944" s="16"/>
      <c r="BZ944" s="16"/>
      <c r="CA944" s="16"/>
      <c r="CB944" s="16"/>
    </row>
    <row r="945" spans="1:80" ht="16.149999999999999" customHeight="1" x14ac:dyDescent="0.25">
      <c r="A945" s="16"/>
      <c r="B945" s="16"/>
      <c r="C945" s="16"/>
      <c r="D945" s="16"/>
      <c r="E945" s="16"/>
      <c r="F945" s="16"/>
      <c r="G945" s="17"/>
      <c r="H945" s="17"/>
      <c r="I945" s="17"/>
      <c r="J945" s="17"/>
      <c r="K945" s="17"/>
      <c r="L945" s="18" t="s">
        <v>1361</v>
      </c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</row>
    <row r="946" spans="1:80" ht="16.149999999999999" customHeight="1" x14ac:dyDescent="0.25">
      <c r="A946" s="16"/>
      <c r="B946" s="16"/>
      <c r="C946" s="16"/>
      <c r="D946" s="16"/>
      <c r="E946" s="16"/>
      <c r="F946" s="16"/>
      <c r="G946" s="17"/>
      <c r="H946" s="17"/>
      <c r="I946" s="17"/>
      <c r="J946" s="17"/>
      <c r="K946" s="17"/>
      <c r="L946" s="18" t="s">
        <v>1362</v>
      </c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6"/>
      <c r="AW946" s="16"/>
      <c r="AX946" s="16"/>
      <c r="AY946" s="16"/>
      <c r="AZ946" s="16"/>
      <c r="BA946" s="16"/>
      <c r="BB946" s="16"/>
      <c r="BC946" s="16"/>
      <c r="BD946" s="16"/>
      <c r="BE946" s="16"/>
      <c r="BF946" s="16"/>
      <c r="BG946" s="16"/>
      <c r="BH946" s="16"/>
      <c r="BI946" s="16"/>
      <c r="BJ946" s="16"/>
      <c r="BK946" s="16"/>
      <c r="BL946" s="16"/>
      <c r="BM946" s="16"/>
      <c r="BN946" s="16"/>
      <c r="BO946" s="16"/>
      <c r="BP946" s="16"/>
      <c r="BQ946" s="16"/>
      <c r="BR946" s="16"/>
      <c r="BS946" s="16"/>
      <c r="BT946" s="16"/>
      <c r="BU946" s="16"/>
      <c r="BV946" s="16"/>
      <c r="BW946" s="16"/>
      <c r="BX946" s="16"/>
      <c r="BY946" s="16"/>
      <c r="BZ946" s="16"/>
      <c r="CA946" s="16"/>
      <c r="CB946" s="16"/>
    </row>
    <row r="947" spans="1:80" ht="16.149999999999999" customHeight="1" x14ac:dyDescent="0.25">
      <c r="A947" s="16"/>
      <c r="B947" s="16"/>
      <c r="C947" s="16"/>
      <c r="D947" s="16"/>
      <c r="E947" s="16"/>
      <c r="F947" s="16"/>
      <c r="G947" s="17"/>
      <c r="H947" s="17"/>
      <c r="I947" s="17"/>
      <c r="J947" s="17"/>
      <c r="K947" s="17"/>
      <c r="L947" s="18" t="s">
        <v>1363</v>
      </c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</row>
    <row r="948" spans="1:80" ht="16.149999999999999" customHeight="1" x14ac:dyDescent="0.25">
      <c r="A948" s="16"/>
      <c r="B948" s="16"/>
      <c r="C948" s="16"/>
      <c r="D948" s="16"/>
      <c r="E948" s="16"/>
      <c r="F948" s="16"/>
      <c r="G948" s="17"/>
      <c r="H948" s="17"/>
      <c r="I948" s="17"/>
      <c r="J948" s="17"/>
      <c r="K948" s="17"/>
      <c r="L948" s="18" t="s">
        <v>1364</v>
      </c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6"/>
      <c r="AW948" s="16"/>
      <c r="AX948" s="16"/>
      <c r="AY948" s="16"/>
      <c r="AZ948" s="16"/>
      <c r="BA948" s="16"/>
      <c r="BB948" s="16"/>
      <c r="BC948" s="16"/>
      <c r="BD948" s="16"/>
      <c r="BE948" s="16"/>
      <c r="BF948" s="16"/>
      <c r="BG948" s="16"/>
      <c r="BH948" s="16"/>
      <c r="BI948" s="16"/>
      <c r="BJ948" s="16"/>
      <c r="BK948" s="16"/>
      <c r="BL948" s="16"/>
      <c r="BM948" s="16"/>
      <c r="BN948" s="16"/>
      <c r="BO948" s="16"/>
      <c r="BP948" s="16"/>
      <c r="BQ948" s="16"/>
      <c r="BR948" s="16"/>
      <c r="BS948" s="16"/>
      <c r="BT948" s="16"/>
      <c r="BU948" s="16"/>
      <c r="BV948" s="16"/>
      <c r="BW948" s="16"/>
      <c r="BX948" s="16"/>
      <c r="BY948" s="16"/>
      <c r="BZ948" s="16"/>
      <c r="CA948" s="16"/>
      <c r="CB948" s="16"/>
    </row>
    <row r="949" spans="1:80" ht="16.149999999999999" customHeight="1" x14ac:dyDescent="0.25">
      <c r="A949" s="16"/>
      <c r="B949" s="16"/>
      <c r="C949" s="16"/>
      <c r="D949" s="16"/>
      <c r="E949" s="16"/>
      <c r="F949" s="16"/>
      <c r="G949" s="17"/>
      <c r="H949" s="17"/>
      <c r="I949" s="17"/>
      <c r="J949" s="17"/>
      <c r="K949" s="17"/>
      <c r="L949" s="18" t="s">
        <v>1365</v>
      </c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</row>
    <row r="950" spans="1:80" ht="16.149999999999999" customHeight="1" x14ac:dyDescent="0.25">
      <c r="A950" s="16"/>
      <c r="B950" s="16"/>
      <c r="C950" s="16"/>
      <c r="D950" s="16"/>
      <c r="E950" s="16"/>
      <c r="F950" s="16"/>
      <c r="G950" s="17"/>
      <c r="H950" s="17"/>
      <c r="I950" s="17"/>
      <c r="J950" s="17"/>
      <c r="K950" s="17"/>
      <c r="L950" s="18" t="s">
        <v>1366</v>
      </c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6"/>
      <c r="AW950" s="16"/>
      <c r="AX950" s="16"/>
      <c r="AY950" s="16"/>
      <c r="AZ950" s="16"/>
      <c r="BA950" s="16"/>
      <c r="BB950" s="16"/>
      <c r="BC950" s="16"/>
      <c r="BD950" s="16"/>
      <c r="BE950" s="16"/>
      <c r="BF950" s="16"/>
      <c r="BG950" s="16"/>
      <c r="BH950" s="16"/>
      <c r="BI950" s="16"/>
      <c r="BJ950" s="16"/>
      <c r="BK950" s="16"/>
      <c r="BL950" s="16"/>
      <c r="BM950" s="16"/>
      <c r="BN950" s="16"/>
      <c r="BO950" s="16"/>
      <c r="BP950" s="16"/>
      <c r="BQ950" s="16"/>
      <c r="BR950" s="16"/>
      <c r="BS950" s="16"/>
      <c r="BT950" s="16"/>
      <c r="BU950" s="16"/>
      <c r="BV950" s="16"/>
      <c r="BW950" s="16"/>
      <c r="BX950" s="16"/>
      <c r="BY950" s="16"/>
      <c r="BZ950" s="16"/>
      <c r="CA950" s="16"/>
      <c r="CB950" s="16"/>
    </row>
    <row r="951" spans="1:80" ht="16.149999999999999" customHeight="1" x14ac:dyDescent="0.25">
      <c r="A951" s="16"/>
      <c r="B951" s="16"/>
      <c r="C951" s="16"/>
      <c r="D951" s="16"/>
      <c r="E951" s="16"/>
      <c r="F951" s="16"/>
      <c r="G951" s="17"/>
      <c r="H951" s="17"/>
      <c r="I951" s="17"/>
      <c r="J951" s="17"/>
      <c r="K951" s="17"/>
      <c r="L951" s="18" t="s">
        <v>1367</v>
      </c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</row>
    <row r="952" spans="1:80" ht="16.149999999999999" customHeight="1" x14ac:dyDescent="0.25">
      <c r="A952" s="16"/>
      <c r="B952" s="16"/>
      <c r="C952" s="16"/>
      <c r="D952" s="16"/>
      <c r="E952" s="16"/>
      <c r="F952" s="16"/>
      <c r="G952" s="17"/>
      <c r="H952" s="17"/>
      <c r="I952" s="17"/>
      <c r="J952" s="17"/>
      <c r="K952" s="17"/>
      <c r="L952" s="18" t="s">
        <v>1368</v>
      </c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6"/>
      <c r="AW952" s="16"/>
      <c r="AX952" s="16"/>
      <c r="AY952" s="16"/>
      <c r="AZ952" s="16"/>
      <c r="BA952" s="16"/>
      <c r="BB952" s="16"/>
      <c r="BC952" s="16"/>
      <c r="BD952" s="16"/>
      <c r="BE952" s="16"/>
      <c r="BF952" s="16"/>
      <c r="BG952" s="16"/>
      <c r="BH952" s="16"/>
      <c r="BI952" s="16"/>
      <c r="BJ952" s="16"/>
      <c r="BK952" s="16"/>
      <c r="BL952" s="16"/>
      <c r="BM952" s="16"/>
      <c r="BN952" s="16"/>
      <c r="BO952" s="16"/>
      <c r="BP952" s="16"/>
      <c r="BQ952" s="16"/>
      <c r="BR952" s="16"/>
      <c r="BS952" s="16"/>
      <c r="BT952" s="16"/>
      <c r="BU952" s="16"/>
      <c r="BV952" s="16"/>
      <c r="BW952" s="16"/>
      <c r="BX952" s="16"/>
      <c r="BY952" s="16"/>
      <c r="BZ952" s="16"/>
      <c r="CA952" s="16"/>
      <c r="CB952" s="16"/>
    </row>
    <row r="953" spans="1:80" ht="16.149999999999999" customHeight="1" x14ac:dyDescent="0.25">
      <c r="A953" s="16"/>
      <c r="B953" s="16"/>
      <c r="C953" s="16"/>
      <c r="D953" s="16"/>
      <c r="E953" s="16"/>
      <c r="F953" s="16"/>
      <c r="G953" s="17"/>
      <c r="H953" s="17"/>
      <c r="I953" s="17"/>
      <c r="J953" s="17"/>
      <c r="K953" s="17"/>
      <c r="L953" s="18" t="s">
        <v>1369</v>
      </c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</row>
    <row r="954" spans="1:80" ht="16.149999999999999" customHeight="1" x14ac:dyDescent="0.25">
      <c r="A954" s="16"/>
      <c r="B954" s="16"/>
      <c r="C954" s="16"/>
      <c r="D954" s="16"/>
      <c r="E954" s="16"/>
      <c r="F954" s="16"/>
      <c r="G954" s="17"/>
      <c r="H954" s="17"/>
      <c r="I954" s="17"/>
      <c r="J954" s="17"/>
      <c r="K954" s="17"/>
      <c r="L954" s="18" t="s">
        <v>1370</v>
      </c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6"/>
      <c r="AW954" s="16"/>
      <c r="AX954" s="16"/>
      <c r="AY954" s="16"/>
      <c r="AZ954" s="16"/>
      <c r="BA954" s="16"/>
      <c r="BB954" s="16"/>
      <c r="BC954" s="16"/>
      <c r="BD954" s="16"/>
      <c r="BE954" s="16"/>
      <c r="BF954" s="16"/>
      <c r="BG954" s="16"/>
      <c r="BH954" s="16"/>
      <c r="BI954" s="16"/>
      <c r="BJ954" s="16"/>
      <c r="BK954" s="16"/>
      <c r="BL954" s="16"/>
      <c r="BM954" s="16"/>
      <c r="BN954" s="16"/>
      <c r="BO954" s="16"/>
      <c r="BP954" s="16"/>
      <c r="BQ954" s="16"/>
      <c r="BR954" s="16"/>
      <c r="BS954" s="16"/>
      <c r="BT954" s="16"/>
      <c r="BU954" s="16"/>
      <c r="BV954" s="16"/>
      <c r="BW954" s="16"/>
      <c r="BX954" s="16"/>
      <c r="BY954" s="16"/>
      <c r="BZ954" s="16"/>
      <c r="CA954" s="16"/>
      <c r="CB954" s="16"/>
    </row>
    <row r="955" spans="1:80" ht="16.149999999999999" customHeight="1" x14ac:dyDescent="0.25">
      <c r="A955" s="16"/>
      <c r="B955" s="16"/>
      <c r="C955" s="16"/>
      <c r="D955" s="16"/>
      <c r="E955" s="16"/>
      <c r="F955" s="16"/>
      <c r="G955" s="17"/>
      <c r="H955" s="17"/>
      <c r="I955" s="17"/>
      <c r="J955" s="17"/>
      <c r="K955" s="17"/>
      <c r="L955" s="18" t="s">
        <v>1371</v>
      </c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</row>
    <row r="956" spans="1:80" ht="16.149999999999999" customHeight="1" x14ac:dyDescent="0.25">
      <c r="A956" s="16"/>
      <c r="B956" s="16"/>
      <c r="C956" s="16"/>
      <c r="D956" s="16"/>
      <c r="E956" s="16"/>
      <c r="F956" s="16"/>
      <c r="G956" s="17"/>
      <c r="H956" s="17"/>
      <c r="I956" s="17"/>
      <c r="J956" s="17"/>
      <c r="K956" s="17"/>
      <c r="L956" s="18" t="s">
        <v>1372</v>
      </c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6"/>
      <c r="AW956" s="16"/>
      <c r="AX956" s="16"/>
      <c r="AY956" s="16"/>
      <c r="AZ956" s="16"/>
      <c r="BA956" s="16"/>
      <c r="BB956" s="16"/>
      <c r="BC956" s="16"/>
      <c r="BD956" s="16"/>
      <c r="BE956" s="16"/>
      <c r="BF956" s="16"/>
      <c r="BG956" s="16"/>
      <c r="BH956" s="16"/>
      <c r="BI956" s="16"/>
      <c r="BJ956" s="16"/>
      <c r="BK956" s="16"/>
      <c r="BL956" s="16"/>
      <c r="BM956" s="16"/>
      <c r="BN956" s="16"/>
      <c r="BO956" s="16"/>
      <c r="BP956" s="16"/>
      <c r="BQ956" s="16"/>
      <c r="BR956" s="16"/>
      <c r="BS956" s="16"/>
      <c r="BT956" s="16"/>
      <c r="BU956" s="16"/>
      <c r="BV956" s="16"/>
      <c r="BW956" s="16"/>
      <c r="BX956" s="16"/>
      <c r="BY956" s="16"/>
      <c r="BZ956" s="16"/>
      <c r="CA956" s="16"/>
      <c r="CB956" s="16"/>
    </row>
    <row r="957" spans="1:80" ht="16.149999999999999" customHeight="1" x14ac:dyDescent="0.25">
      <c r="A957" s="16"/>
      <c r="B957" s="16"/>
      <c r="C957" s="16"/>
      <c r="D957" s="16"/>
      <c r="E957" s="16"/>
      <c r="F957" s="16"/>
      <c r="G957" s="17"/>
      <c r="H957" s="17"/>
      <c r="I957" s="17"/>
      <c r="J957" s="17"/>
      <c r="K957" s="17"/>
      <c r="L957" s="18" t="s">
        <v>1373</v>
      </c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</row>
    <row r="958" spans="1:80" ht="16.149999999999999" customHeight="1" x14ac:dyDescent="0.25">
      <c r="A958" s="16"/>
      <c r="B958" s="16"/>
      <c r="C958" s="16"/>
      <c r="D958" s="16"/>
      <c r="E958" s="16"/>
      <c r="F958" s="16"/>
      <c r="G958" s="17"/>
      <c r="H958" s="17"/>
      <c r="I958" s="17"/>
      <c r="J958" s="17"/>
      <c r="K958" s="17"/>
      <c r="L958" s="18" t="s">
        <v>1374</v>
      </c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6"/>
      <c r="AW958" s="16"/>
      <c r="AX958" s="16"/>
      <c r="AY958" s="16"/>
      <c r="AZ958" s="16"/>
      <c r="BA958" s="16"/>
      <c r="BB958" s="16"/>
      <c r="BC958" s="16"/>
      <c r="BD958" s="16"/>
      <c r="BE958" s="16"/>
      <c r="BF958" s="16"/>
      <c r="BG958" s="16"/>
      <c r="BH958" s="16"/>
      <c r="BI958" s="16"/>
      <c r="BJ958" s="16"/>
      <c r="BK958" s="16"/>
      <c r="BL958" s="16"/>
      <c r="BM958" s="16"/>
      <c r="BN958" s="16"/>
      <c r="BO958" s="16"/>
      <c r="BP958" s="16"/>
      <c r="BQ958" s="16"/>
      <c r="BR958" s="16"/>
      <c r="BS958" s="16"/>
      <c r="BT958" s="16"/>
      <c r="BU958" s="16"/>
      <c r="BV958" s="16"/>
      <c r="BW958" s="16"/>
      <c r="BX958" s="16"/>
      <c r="BY958" s="16"/>
      <c r="BZ958" s="16"/>
      <c r="CA958" s="16"/>
      <c r="CB958" s="16"/>
    </row>
    <row r="959" spans="1:80" ht="16.149999999999999" customHeight="1" x14ac:dyDescent="0.25">
      <c r="A959" s="16"/>
      <c r="B959" s="16"/>
      <c r="C959" s="16"/>
      <c r="D959" s="16"/>
      <c r="E959" s="16"/>
      <c r="F959" s="16"/>
      <c r="G959" s="17"/>
      <c r="H959" s="17"/>
      <c r="I959" s="17"/>
      <c r="J959" s="17"/>
      <c r="K959" s="17"/>
      <c r="L959" s="18" t="s">
        <v>1375</v>
      </c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</row>
    <row r="960" spans="1:80" ht="16.149999999999999" customHeight="1" x14ac:dyDescent="0.25">
      <c r="A960" s="16"/>
      <c r="B960" s="16"/>
      <c r="C960" s="16"/>
      <c r="D960" s="16"/>
      <c r="E960" s="16"/>
      <c r="F960" s="16"/>
      <c r="G960" s="17"/>
      <c r="H960" s="17"/>
      <c r="I960" s="17"/>
      <c r="J960" s="17"/>
      <c r="K960" s="17"/>
      <c r="L960" s="18" t="s">
        <v>1376</v>
      </c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6"/>
      <c r="AW960" s="16"/>
      <c r="AX960" s="16"/>
      <c r="AY960" s="16"/>
      <c r="AZ960" s="16"/>
      <c r="BA960" s="16"/>
      <c r="BB960" s="16"/>
      <c r="BC960" s="16"/>
      <c r="BD960" s="16"/>
      <c r="BE960" s="16"/>
      <c r="BF960" s="16"/>
      <c r="BG960" s="16"/>
      <c r="BH960" s="16"/>
      <c r="BI960" s="16"/>
      <c r="BJ960" s="16"/>
      <c r="BK960" s="16"/>
      <c r="BL960" s="16"/>
      <c r="BM960" s="16"/>
      <c r="BN960" s="16"/>
      <c r="BO960" s="16"/>
      <c r="BP960" s="16"/>
      <c r="BQ960" s="16"/>
      <c r="BR960" s="16"/>
      <c r="BS960" s="16"/>
      <c r="BT960" s="16"/>
      <c r="BU960" s="16"/>
      <c r="BV960" s="16"/>
      <c r="BW960" s="16"/>
      <c r="BX960" s="16"/>
      <c r="BY960" s="16"/>
      <c r="BZ960" s="16"/>
      <c r="CA960" s="16"/>
      <c r="CB960" s="16"/>
    </row>
    <row r="961" spans="1:80" ht="16.149999999999999" customHeight="1" x14ac:dyDescent="0.25">
      <c r="A961" s="16"/>
      <c r="B961" s="16"/>
      <c r="C961" s="16"/>
      <c r="D961" s="16"/>
      <c r="E961" s="16"/>
      <c r="F961" s="16"/>
      <c r="G961" s="17"/>
      <c r="H961" s="17"/>
      <c r="I961" s="17"/>
      <c r="J961" s="17"/>
      <c r="K961" s="17"/>
      <c r="L961" s="18" t="s">
        <v>1377</v>
      </c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</row>
    <row r="962" spans="1:80" ht="16.149999999999999" customHeight="1" x14ac:dyDescent="0.25">
      <c r="A962" s="16"/>
      <c r="B962" s="16"/>
      <c r="C962" s="16"/>
      <c r="D962" s="16"/>
      <c r="E962" s="16"/>
      <c r="F962" s="16"/>
      <c r="G962" s="17"/>
      <c r="H962" s="17"/>
      <c r="I962" s="17"/>
      <c r="J962" s="17"/>
      <c r="K962" s="17"/>
      <c r="L962" s="18" t="s">
        <v>1378</v>
      </c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6"/>
      <c r="AW962" s="16"/>
      <c r="AX962" s="16"/>
      <c r="AY962" s="16"/>
      <c r="AZ962" s="16"/>
      <c r="BA962" s="16"/>
      <c r="BB962" s="16"/>
      <c r="BC962" s="16"/>
      <c r="BD962" s="16"/>
      <c r="BE962" s="16"/>
      <c r="BF962" s="16"/>
      <c r="BG962" s="16"/>
      <c r="BH962" s="16"/>
      <c r="BI962" s="16"/>
      <c r="BJ962" s="16"/>
      <c r="BK962" s="16"/>
      <c r="BL962" s="16"/>
      <c r="BM962" s="16"/>
      <c r="BN962" s="16"/>
      <c r="BO962" s="16"/>
      <c r="BP962" s="16"/>
      <c r="BQ962" s="16"/>
      <c r="BR962" s="16"/>
      <c r="BS962" s="16"/>
      <c r="BT962" s="16"/>
      <c r="BU962" s="16"/>
      <c r="BV962" s="16"/>
      <c r="BW962" s="16"/>
      <c r="BX962" s="16"/>
      <c r="BY962" s="16"/>
      <c r="BZ962" s="16"/>
      <c r="CA962" s="16"/>
      <c r="CB962" s="16"/>
    </row>
    <row r="963" spans="1:80" ht="16.149999999999999" customHeight="1" x14ac:dyDescent="0.25">
      <c r="A963" s="16"/>
      <c r="B963" s="16"/>
      <c r="C963" s="16"/>
      <c r="D963" s="16"/>
      <c r="E963" s="16"/>
      <c r="F963" s="16"/>
      <c r="G963" s="17"/>
      <c r="H963" s="17"/>
      <c r="I963" s="17"/>
      <c r="J963" s="17"/>
      <c r="K963" s="17"/>
      <c r="L963" s="18" t="s">
        <v>1379</v>
      </c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</row>
    <row r="964" spans="1:80" ht="16.149999999999999" customHeight="1" x14ac:dyDescent="0.25">
      <c r="A964" s="16"/>
      <c r="B964" s="16"/>
      <c r="C964" s="16"/>
      <c r="D964" s="16"/>
      <c r="E964" s="16"/>
      <c r="F964" s="16"/>
      <c r="G964" s="17"/>
      <c r="H964" s="17"/>
      <c r="I964" s="17"/>
      <c r="J964" s="17"/>
      <c r="K964" s="17"/>
      <c r="L964" s="18" t="s">
        <v>1380</v>
      </c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6"/>
      <c r="AW964" s="16"/>
      <c r="AX964" s="16"/>
      <c r="AY964" s="16"/>
      <c r="AZ964" s="16"/>
      <c r="BA964" s="16"/>
      <c r="BB964" s="16"/>
      <c r="BC964" s="16"/>
      <c r="BD964" s="16"/>
      <c r="BE964" s="16"/>
      <c r="BF964" s="16"/>
      <c r="BG964" s="16"/>
      <c r="BH964" s="16"/>
      <c r="BI964" s="16"/>
      <c r="BJ964" s="16"/>
      <c r="BK964" s="16"/>
      <c r="BL964" s="16"/>
      <c r="BM964" s="16"/>
      <c r="BN964" s="16"/>
      <c r="BO964" s="16"/>
      <c r="BP964" s="16"/>
      <c r="BQ964" s="16"/>
      <c r="BR964" s="16"/>
      <c r="BS964" s="16"/>
      <c r="BT964" s="16"/>
      <c r="BU964" s="16"/>
      <c r="BV964" s="16"/>
      <c r="BW964" s="16"/>
      <c r="BX964" s="16"/>
      <c r="BY964" s="16"/>
      <c r="BZ964" s="16"/>
      <c r="CA964" s="16"/>
      <c r="CB964" s="16"/>
    </row>
    <row r="965" spans="1:80" ht="16.149999999999999" customHeight="1" x14ac:dyDescent="0.25">
      <c r="A965" s="16"/>
      <c r="B965" s="16"/>
      <c r="C965" s="16"/>
      <c r="D965" s="16"/>
      <c r="E965" s="16"/>
      <c r="F965" s="16"/>
      <c r="G965" s="17"/>
      <c r="H965" s="17"/>
      <c r="I965" s="17"/>
      <c r="J965" s="17"/>
      <c r="K965" s="17"/>
      <c r="L965" s="18" t="s">
        <v>1381</v>
      </c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</row>
    <row r="966" spans="1:80" ht="16.149999999999999" customHeight="1" x14ac:dyDescent="0.25">
      <c r="A966" s="16"/>
      <c r="B966" s="16"/>
      <c r="C966" s="16"/>
      <c r="D966" s="16"/>
      <c r="E966" s="16"/>
      <c r="F966" s="16"/>
      <c r="G966" s="17"/>
      <c r="H966" s="17"/>
      <c r="I966" s="17"/>
      <c r="J966" s="17"/>
      <c r="K966" s="17"/>
      <c r="L966" s="18" t="s">
        <v>1382</v>
      </c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6"/>
      <c r="AW966" s="16"/>
      <c r="AX966" s="16"/>
      <c r="AY966" s="16"/>
      <c r="AZ966" s="16"/>
      <c r="BA966" s="16"/>
      <c r="BB966" s="16"/>
      <c r="BC966" s="16"/>
      <c r="BD966" s="16"/>
      <c r="BE966" s="16"/>
      <c r="BF966" s="16"/>
      <c r="BG966" s="16"/>
      <c r="BH966" s="16"/>
      <c r="BI966" s="16"/>
      <c r="BJ966" s="16"/>
      <c r="BK966" s="16"/>
      <c r="BL966" s="16"/>
      <c r="BM966" s="16"/>
      <c r="BN966" s="16"/>
      <c r="BO966" s="16"/>
      <c r="BP966" s="16"/>
      <c r="BQ966" s="16"/>
      <c r="BR966" s="16"/>
      <c r="BS966" s="16"/>
      <c r="BT966" s="16"/>
      <c r="BU966" s="16"/>
      <c r="BV966" s="16"/>
      <c r="BW966" s="16"/>
      <c r="BX966" s="16"/>
      <c r="BY966" s="16"/>
      <c r="BZ966" s="16"/>
      <c r="CA966" s="16"/>
      <c r="CB966" s="16"/>
    </row>
    <row r="967" spans="1:80" ht="16.149999999999999" customHeight="1" x14ac:dyDescent="0.25">
      <c r="A967" s="16"/>
      <c r="B967" s="16"/>
      <c r="C967" s="16"/>
      <c r="D967" s="16"/>
      <c r="E967" s="16"/>
      <c r="F967" s="16"/>
      <c r="G967" s="17"/>
      <c r="H967" s="17"/>
      <c r="I967" s="17"/>
      <c r="J967" s="17"/>
      <c r="K967" s="17"/>
      <c r="L967" s="18" t="s">
        <v>1383</v>
      </c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</row>
    <row r="968" spans="1:80" ht="16.149999999999999" customHeight="1" x14ac:dyDescent="0.25">
      <c r="A968" s="16"/>
      <c r="B968" s="16"/>
      <c r="C968" s="16"/>
      <c r="D968" s="16"/>
      <c r="E968" s="16"/>
      <c r="F968" s="16"/>
      <c r="G968" s="17"/>
      <c r="H968" s="17"/>
      <c r="I968" s="17"/>
      <c r="J968" s="17"/>
      <c r="K968" s="17"/>
      <c r="L968" s="18" t="s">
        <v>1384</v>
      </c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6"/>
      <c r="AW968" s="16"/>
      <c r="AX968" s="16"/>
      <c r="AY968" s="16"/>
      <c r="AZ968" s="16"/>
      <c r="BA968" s="16"/>
      <c r="BB968" s="16"/>
      <c r="BC968" s="16"/>
      <c r="BD968" s="16"/>
      <c r="BE968" s="16"/>
      <c r="BF968" s="16"/>
      <c r="BG968" s="16"/>
      <c r="BH968" s="16"/>
      <c r="BI968" s="16"/>
      <c r="BJ968" s="16"/>
      <c r="BK968" s="16"/>
      <c r="BL968" s="16"/>
      <c r="BM968" s="16"/>
      <c r="BN968" s="16"/>
      <c r="BO968" s="16"/>
      <c r="BP968" s="16"/>
      <c r="BQ968" s="16"/>
      <c r="BR968" s="16"/>
      <c r="BS968" s="16"/>
      <c r="BT968" s="16"/>
      <c r="BU968" s="16"/>
      <c r="BV968" s="16"/>
      <c r="BW968" s="16"/>
      <c r="BX968" s="16"/>
      <c r="BY968" s="16"/>
      <c r="BZ968" s="16"/>
      <c r="CA968" s="16"/>
      <c r="CB968" s="16"/>
    </row>
    <row r="969" spans="1:80" ht="16.149999999999999" customHeight="1" x14ac:dyDescent="0.25">
      <c r="A969" s="16"/>
      <c r="B969" s="16"/>
      <c r="C969" s="16"/>
      <c r="D969" s="16"/>
      <c r="E969" s="16"/>
      <c r="F969" s="16"/>
      <c r="G969" s="17"/>
      <c r="H969" s="17"/>
      <c r="I969" s="17"/>
      <c r="J969" s="17"/>
      <c r="K969" s="17"/>
      <c r="L969" s="18" t="s">
        <v>1385</v>
      </c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</row>
    <row r="970" spans="1:80" ht="16.149999999999999" customHeight="1" x14ac:dyDescent="0.25">
      <c r="A970" s="16"/>
      <c r="B970" s="16"/>
      <c r="C970" s="16"/>
      <c r="D970" s="16"/>
      <c r="E970" s="16"/>
      <c r="F970" s="16"/>
      <c r="G970" s="17"/>
      <c r="H970" s="17"/>
      <c r="I970" s="17"/>
      <c r="J970" s="17"/>
      <c r="K970" s="17"/>
      <c r="L970" s="18" t="s">
        <v>1386</v>
      </c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6"/>
      <c r="AW970" s="16"/>
      <c r="AX970" s="16"/>
      <c r="AY970" s="16"/>
      <c r="AZ970" s="16"/>
      <c r="BA970" s="16"/>
      <c r="BB970" s="16"/>
      <c r="BC970" s="16"/>
      <c r="BD970" s="16"/>
      <c r="BE970" s="16"/>
      <c r="BF970" s="16"/>
      <c r="BG970" s="16"/>
      <c r="BH970" s="16"/>
      <c r="BI970" s="16"/>
      <c r="BJ970" s="16"/>
      <c r="BK970" s="16"/>
      <c r="BL970" s="16"/>
      <c r="BM970" s="16"/>
      <c r="BN970" s="16"/>
      <c r="BO970" s="16"/>
      <c r="BP970" s="16"/>
      <c r="BQ970" s="16"/>
      <c r="BR970" s="16"/>
      <c r="BS970" s="16"/>
      <c r="BT970" s="16"/>
      <c r="BU970" s="16"/>
      <c r="BV970" s="16"/>
      <c r="BW970" s="16"/>
      <c r="BX970" s="16"/>
      <c r="BY970" s="16"/>
      <c r="BZ970" s="16"/>
      <c r="CA970" s="16"/>
      <c r="CB970" s="16"/>
    </row>
    <row r="971" spans="1:80" ht="16.149999999999999" customHeight="1" x14ac:dyDescent="0.25">
      <c r="A971" s="16"/>
      <c r="B971" s="16"/>
      <c r="C971" s="16"/>
      <c r="D971" s="16"/>
      <c r="E971" s="16"/>
      <c r="F971" s="16"/>
      <c r="G971" s="17"/>
      <c r="H971" s="17"/>
      <c r="I971" s="17"/>
      <c r="J971" s="17"/>
      <c r="K971" s="17"/>
      <c r="L971" s="18" t="s">
        <v>1387</v>
      </c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</row>
    <row r="972" spans="1:80" ht="16.149999999999999" customHeight="1" x14ac:dyDescent="0.25">
      <c r="A972" s="16"/>
      <c r="B972" s="16"/>
      <c r="C972" s="16"/>
      <c r="D972" s="16"/>
      <c r="E972" s="16"/>
      <c r="F972" s="16"/>
      <c r="G972" s="17"/>
      <c r="H972" s="17"/>
      <c r="I972" s="17"/>
      <c r="J972" s="17"/>
      <c r="K972" s="17"/>
      <c r="L972" s="18" t="s">
        <v>1388</v>
      </c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6"/>
      <c r="AW972" s="16"/>
      <c r="AX972" s="16"/>
      <c r="AY972" s="16"/>
      <c r="AZ972" s="16"/>
      <c r="BA972" s="16"/>
      <c r="BB972" s="16"/>
      <c r="BC972" s="16"/>
      <c r="BD972" s="16"/>
      <c r="BE972" s="16"/>
      <c r="BF972" s="16"/>
      <c r="BG972" s="16"/>
      <c r="BH972" s="16"/>
      <c r="BI972" s="16"/>
      <c r="BJ972" s="16"/>
      <c r="BK972" s="16"/>
      <c r="BL972" s="16"/>
      <c r="BM972" s="16"/>
      <c r="BN972" s="16"/>
      <c r="BO972" s="16"/>
      <c r="BP972" s="16"/>
      <c r="BQ972" s="16"/>
      <c r="BR972" s="16"/>
      <c r="BS972" s="16"/>
      <c r="BT972" s="16"/>
      <c r="BU972" s="16"/>
      <c r="BV972" s="16"/>
      <c r="BW972" s="16"/>
      <c r="BX972" s="16"/>
      <c r="BY972" s="16"/>
      <c r="BZ972" s="16"/>
      <c r="CA972" s="16"/>
      <c r="CB972" s="16"/>
    </row>
    <row r="973" spans="1:80" ht="16.149999999999999" customHeight="1" x14ac:dyDescent="0.25">
      <c r="A973" s="16"/>
      <c r="B973" s="16"/>
      <c r="C973" s="16"/>
      <c r="D973" s="16"/>
      <c r="E973" s="16"/>
      <c r="F973" s="16"/>
      <c r="G973" s="17"/>
      <c r="H973" s="17"/>
      <c r="I973" s="17"/>
      <c r="J973" s="17"/>
      <c r="K973" s="17"/>
      <c r="L973" s="18" t="s">
        <v>1389</v>
      </c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</row>
    <row r="974" spans="1:80" ht="16.149999999999999" customHeight="1" x14ac:dyDescent="0.25">
      <c r="A974" s="16"/>
      <c r="B974" s="16"/>
      <c r="C974" s="16"/>
      <c r="D974" s="16"/>
      <c r="E974" s="16"/>
      <c r="F974" s="16"/>
      <c r="G974" s="17"/>
      <c r="H974" s="17"/>
      <c r="I974" s="17"/>
      <c r="J974" s="17"/>
      <c r="K974" s="17"/>
      <c r="L974" s="18" t="s">
        <v>1390</v>
      </c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6"/>
      <c r="AW974" s="16"/>
      <c r="AX974" s="16"/>
      <c r="AY974" s="16"/>
      <c r="AZ974" s="16"/>
      <c r="BA974" s="16"/>
      <c r="BB974" s="16"/>
      <c r="BC974" s="16"/>
      <c r="BD974" s="16"/>
      <c r="BE974" s="16"/>
      <c r="BF974" s="16"/>
      <c r="BG974" s="16"/>
      <c r="BH974" s="16"/>
      <c r="BI974" s="16"/>
      <c r="BJ974" s="16"/>
      <c r="BK974" s="16"/>
      <c r="BL974" s="16"/>
      <c r="BM974" s="16"/>
      <c r="BN974" s="16"/>
      <c r="BO974" s="16"/>
      <c r="BP974" s="16"/>
      <c r="BQ974" s="16"/>
      <c r="BR974" s="16"/>
      <c r="BS974" s="16"/>
      <c r="BT974" s="16"/>
      <c r="BU974" s="16"/>
      <c r="BV974" s="16"/>
      <c r="BW974" s="16"/>
      <c r="BX974" s="16"/>
      <c r="BY974" s="16"/>
      <c r="BZ974" s="16"/>
      <c r="CA974" s="16"/>
      <c r="CB974" s="16"/>
    </row>
    <row r="975" spans="1:80" ht="16.149999999999999" customHeight="1" x14ac:dyDescent="0.25">
      <c r="A975" s="16"/>
      <c r="B975" s="16"/>
      <c r="C975" s="16"/>
      <c r="D975" s="16"/>
      <c r="E975" s="16"/>
      <c r="F975" s="16"/>
      <c r="G975" s="17"/>
      <c r="H975" s="17"/>
      <c r="I975" s="17"/>
      <c r="J975" s="17"/>
      <c r="K975" s="17"/>
      <c r="L975" s="18" t="s">
        <v>1391</v>
      </c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</row>
    <row r="976" spans="1:80" ht="16.149999999999999" customHeight="1" x14ac:dyDescent="0.25">
      <c r="A976" s="16"/>
      <c r="B976" s="16"/>
      <c r="C976" s="16"/>
      <c r="D976" s="16"/>
      <c r="E976" s="16"/>
      <c r="F976" s="16"/>
      <c r="G976" s="17"/>
      <c r="H976" s="17"/>
      <c r="I976" s="17"/>
      <c r="J976" s="17"/>
      <c r="K976" s="17"/>
      <c r="L976" s="18" t="s">
        <v>1392</v>
      </c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6"/>
      <c r="AW976" s="16"/>
      <c r="AX976" s="16"/>
      <c r="AY976" s="16"/>
      <c r="AZ976" s="16"/>
      <c r="BA976" s="16"/>
      <c r="BB976" s="16"/>
      <c r="BC976" s="16"/>
      <c r="BD976" s="16"/>
      <c r="BE976" s="16"/>
      <c r="BF976" s="16"/>
      <c r="BG976" s="16"/>
      <c r="BH976" s="16"/>
      <c r="BI976" s="16"/>
      <c r="BJ976" s="16"/>
      <c r="BK976" s="16"/>
      <c r="BL976" s="16"/>
      <c r="BM976" s="16"/>
      <c r="BN976" s="16"/>
      <c r="BO976" s="16"/>
      <c r="BP976" s="16"/>
      <c r="BQ976" s="16"/>
      <c r="BR976" s="16"/>
      <c r="BS976" s="16"/>
      <c r="BT976" s="16"/>
      <c r="BU976" s="16"/>
      <c r="BV976" s="16"/>
      <c r="BW976" s="16"/>
      <c r="BX976" s="16"/>
      <c r="BY976" s="16"/>
      <c r="BZ976" s="16"/>
      <c r="CA976" s="16"/>
      <c r="CB976" s="16"/>
    </row>
    <row r="977" spans="1:80" ht="16.149999999999999" customHeight="1" x14ac:dyDescent="0.25">
      <c r="A977" s="16"/>
      <c r="B977" s="16"/>
      <c r="C977" s="16"/>
      <c r="D977" s="16"/>
      <c r="E977" s="16"/>
      <c r="F977" s="16"/>
      <c r="G977" s="17"/>
      <c r="H977" s="17"/>
      <c r="I977" s="17"/>
      <c r="J977" s="17"/>
      <c r="K977" s="17"/>
      <c r="L977" s="18" t="s">
        <v>1393</v>
      </c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</row>
    <row r="978" spans="1:80" ht="16.149999999999999" customHeight="1" x14ac:dyDescent="0.25">
      <c r="A978" s="16"/>
      <c r="B978" s="16"/>
      <c r="C978" s="16"/>
      <c r="D978" s="16"/>
      <c r="E978" s="16"/>
      <c r="F978" s="16"/>
      <c r="G978" s="17"/>
      <c r="H978" s="17"/>
      <c r="I978" s="17"/>
      <c r="J978" s="17"/>
      <c r="K978" s="17"/>
      <c r="L978" s="18" t="s">
        <v>1394</v>
      </c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6"/>
      <c r="AW978" s="16"/>
      <c r="AX978" s="16"/>
      <c r="AY978" s="16"/>
      <c r="AZ978" s="16"/>
      <c r="BA978" s="16"/>
      <c r="BB978" s="16"/>
      <c r="BC978" s="16"/>
      <c r="BD978" s="16"/>
      <c r="BE978" s="16"/>
      <c r="BF978" s="16"/>
      <c r="BG978" s="16"/>
      <c r="BH978" s="16"/>
      <c r="BI978" s="16"/>
      <c r="BJ978" s="16"/>
      <c r="BK978" s="16"/>
      <c r="BL978" s="16"/>
      <c r="BM978" s="16"/>
      <c r="BN978" s="16"/>
      <c r="BO978" s="16"/>
      <c r="BP978" s="16"/>
      <c r="BQ978" s="16"/>
      <c r="BR978" s="16"/>
      <c r="BS978" s="16"/>
      <c r="BT978" s="16"/>
      <c r="BU978" s="16"/>
      <c r="BV978" s="16"/>
      <c r="BW978" s="16"/>
      <c r="BX978" s="16"/>
      <c r="BY978" s="16"/>
      <c r="BZ978" s="16"/>
      <c r="CA978" s="16"/>
      <c r="CB978" s="16"/>
    </row>
    <row r="979" spans="1:80" ht="16.149999999999999" customHeight="1" x14ac:dyDescent="0.25">
      <c r="A979" s="16"/>
      <c r="B979" s="16"/>
      <c r="C979" s="16"/>
      <c r="D979" s="16"/>
      <c r="E979" s="16"/>
      <c r="F979" s="16"/>
      <c r="G979" s="17"/>
      <c r="H979" s="17"/>
      <c r="I979" s="17"/>
      <c r="J979" s="17"/>
      <c r="K979" s="17"/>
      <c r="L979" s="18" t="s">
        <v>1395</v>
      </c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6"/>
      <c r="AW979" s="16"/>
      <c r="AX979" s="16"/>
      <c r="AY979" s="16"/>
      <c r="AZ979" s="16"/>
      <c r="BA979" s="16"/>
      <c r="BB979" s="16"/>
      <c r="BC979" s="16"/>
      <c r="BD979" s="16"/>
      <c r="BE979" s="16"/>
      <c r="BF979" s="16"/>
      <c r="BG979" s="16"/>
      <c r="BH979" s="16"/>
      <c r="BI979" s="16"/>
      <c r="BJ979" s="16"/>
      <c r="BK979" s="16"/>
      <c r="BL979" s="16"/>
      <c r="BM979" s="16"/>
      <c r="BN979" s="16"/>
      <c r="BO979" s="16"/>
      <c r="BP979" s="16"/>
      <c r="BQ979" s="16"/>
      <c r="BR979" s="16"/>
      <c r="BS979" s="16"/>
      <c r="BT979" s="16"/>
      <c r="BU979" s="16"/>
      <c r="BV979" s="16"/>
      <c r="BW979" s="16"/>
      <c r="BX979" s="16"/>
      <c r="BY979" s="16"/>
      <c r="BZ979" s="16"/>
      <c r="CA979" s="16"/>
      <c r="CB979" s="16"/>
    </row>
    <row r="980" spans="1:80" ht="16.149999999999999" customHeight="1" x14ac:dyDescent="0.25">
      <c r="A980" s="16"/>
      <c r="B980" s="16"/>
      <c r="C980" s="16"/>
      <c r="D980" s="16"/>
      <c r="E980" s="16"/>
      <c r="F980" s="16"/>
      <c r="G980" s="17"/>
      <c r="H980" s="17"/>
      <c r="I980" s="17"/>
      <c r="J980" s="17"/>
      <c r="K980" s="17"/>
      <c r="L980" s="18" t="s">
        <v>1396</v>
      </c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</row>
    <row r="981" spans="1:80" ht="16.149999999999999" customHeight="1" x14ac:dyDescent="0.25">
      <c r="A981" s="16"/>
      <c r="B981" s="16"/>
      <c r="C981" s="16"/>
      <c r="D981" s="16"/>
      <c r="E981" s="16"/>
      <c r="F981" s="16"/>
      <c r="G981" s="17"/>
      <c r="H981" s="17"/>
      <c r="I981" s="17"/>
      <c r="J981" s="17"/>
      <c r="K981" s="17"/>
      <c r="L981" s="18" t="s">
        <v>1397</v>
      </c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6"/>
      <c r="AW981" s="16"/>
      <c r="AX981" s="16"/>
      <c r="AY981" s="16"/>
      <c r="AZ981" s="16"/>
      <c r="BA981" s="16"/>
      <c r="BB981" s="16"/>
      <c r="BC981" s="16"/>
      <c r="BD981" s="16"/>
      <c r="BE981" s="16"/>
      <c r="BF981" s="16"/>
      <c r="BG981" s="16"/>
      <c r="BH981" s="16"/>
      <c r="BI981" s="16"/>
      <c r="BJ981" s="16"/>
      <c r="BK981" s="16"/>
      <c r="BL981" s="16"/>
      <c r="BM981" s="16"/>
      <c r="BN981" s="16"/>
      <c r="BO981" s="16"/>
      <c r="BP981" s="16"/>
      <c r="BQ981" s="16"/>
      <c r="BR981" s="16"/>
      <c r="BS981" s="16"/>
      <c r="BT981" s="16"/>
      <c r="BU981" s="16"/>
      <c r="BV981" s="16"/>
      <c r="BW981" s="16"/>
      <c r="BX981" s="16"/>
      <c r="BY981" s="16"/>
      <c r="BZ981" s="16"/>
      <c r="CA981" s="16"/>
      <c r="CB981" s="16"/>
    </row>
    <row r="982" spans="1:80" ht="16.149999999999999" customHeight="1" x14ac:dyDescent="0.25">
      <c r="A982" s="16"/>
      <c r="B982" s="16"/>
      <c r="C982" s="16"/>
      <c r="D982" s="16"/>
      <c r="E982" s="16"/>
      <c r="F982" s="16"/>
      <c r="G982" s="17"/>
      <c r="H982" s="17"/>
      <c r="I982" s="17"/>
      <c r="J982" s="17"/>
      <c r="K982" s="17"/>
      <c r="L982" s="18" t="s">
        <v>1398</v>
      </c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6"/>
      <c r="AW982" s="16"/>
      <c r="AX982" s="16"/>
      <c r="AY982" s="16"/>
      <c r="AZ982" s="16"/>
      <c r="BA982" s="16"/>
      <c r="BB982" s="16"/>
      <c r="BC982" s="16"/>
      <c r="BD982" s="16"/>
      <c r="BE982" s="16"/>
      <c r="BF982" s="16"/>
      <c r="BG982" s="16"/>
      <c r="BH982" s="16"/>
      <c r="BI982" s="16"/>
      <c r="BJ982" s="16"/>
      <c r="BK982" s="16"/>
      <c r="BL982" s="16"/>
      <c r="BM982" s="16"/>
      <c r="BN982" s="16"/>
      <c r="BO982" s="16"/>
      <c r="BP982" s="16"/>
      <c r="BQ982" s="16"/>
      <c r="BR982" s="16"/>
      <c r="BS982" s="16"/>
      <c r="BT982" s="16"/>
      <c r="BU982" s="16"/>
      <c r="BV982" s="16"/>
      <c r="BW982" s="16"/>
      <c r="BX982" s="16"/>
      <c r="BY982" s="16"/>
      <c r="BZ982" s="16"/>
      <c r="CA982" s="16"/>
      <c r="CB982" s="16"/>
    </row>
    <row r="983" spans="1:80" ht="16.149999999999999" customHeight="1" x14ac:dyDescent="0.25">
      <c r="A983" s="16"/>
      <c r="B983" s="16"/>
      <c r="C983" s="16"/>
      <c r="D983" s="16"/>
      <c r="E983" s="16"/>
      <c r="F983" s="16"/>
      <c r="G983" s="17"/>
      <c r="H983" s="17"/>
      <c r="I983" s="17"/>
      <c r="J983" s="17"/>
      <c r="K983" s="17"/>
      <c r="L983" s="18" t="s">
        <v>1399</v>
      </c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</row>
    <row r="984" spans="1:80" ht="16.149999999999999" customHeight="1" x14ac:dyDescent="0.25">
      <c r="A984" s="16"/>
      <c r="B984" s="16"/>
      <c r="C984" s="16"/>
      <c r="D984" s="16"/>
      <c r="E984" s="16"/>
      <c r="F984" s="16"/>
      <c r="G984" s="17"/>
      <c r="H984" s="17"/>
      <c r="I984" s="17"/>
      <c r="J984" s="17"/>
      <c r="K984" s="17"/>
      <c r="L984" s="18" t="s">
        <v>1400</v>
      </c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6"/>
      <c r="AW984" s="16"/>
      <c r="AX984" s="16"/>
      <c r="AY984" s="16"/>
      <c r="AZ984" s="16"/>
      <c r="BA984" s="16"/>
      <c r="BB984" s="16"/>
      <c r="BC984" s="16"/>
      <c r="BD984" s="16"/>
      <c r="BE984" s="16"/>
      <c r="BF984" s="16"/>
      <c r="BG984" s="16"/>
      <c r="BH984" s="16"/>
      <c r="BI984" s="16"/>
      <c r="BJ984" s="16"/>
      <c r="BK984" s="16"/>
      <c r="BL984" s="16"/>
      <c r="BM984" s="16"/>
      <c r="BN984" s="16"/>
      <c r="BO984" s="16"/>
      <c r="BP984" s="16"/>
      <c r="BQ984" s="16"/>
      <c r="BR984" s="16"/>
      <c r="BS984" s="16"/>
      <c r="BT984" s="16"/>
      <c r="BU984" s="16"/>
      <c r="BV984" s="16"/>
      <c r="BW984" s="16"/>
      <c r="BX984" s="16"/>
      <c r="BY984" s="16"/>
      <c r="BZ984" s="16"/>
      <c r="CA984" s="16"/>
      <c r="CB984" s="16"/>
    </row>
    <row r="985" spans="1:80" ht="16.149999999999999" customHeight="1" x14ac:dyDescent="0.25">
      <c r="A985" s="16"/>
      <c r="B985" s="16"/>
      <c r="C985" s="16"/>
      <c r="D985" s="16"/>
      <c r="E985" s="16"/>
      <c r="F985" s="16"/>
      <c r="G985" s="17"/>
      <c r="H985" s="17"/>
      <c r="I985" s="17"/>
      <c r="J985" s="17"/>
      <c r="K985" s="17"/>
      <c r="L985" s="18" t="s">
        <v>1401</v>
      </c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</row>
    <row r="986" spans="1:80" ht="16.149999999999999" customHeight="1" x14ac:dyDescent="0.25">
      <c r="A986" s="16"/>
      <c r="B986" s="16"/>
      <c r="C986" s="16"/>
      <c r="D986" s="16"/>
      <c r="E986" s="16"/>
      <c r="F986" s="16"/>
      <c r="G986" s="17"/>
      <c r="H986" s="17"/>
      <c r="I986" s="17"/>
      <c r="J986" s="17"/>
      <c r="K986" s="17"/>
      <c r="L986" s="18" t="s">
        <v>1402</v>
      </c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6"/>
      <c r="AW986" s="16"/>
      <c r="AX986" s="16"/>
      <c r="AY986" s="16"/>
      <c r="AZ986" s="16"/>
      <c r="BA986" s="16"/>
      <c r="BB986" s="16"/>
      <c r="BC986" s="16"/>
      <c r="BD986" s="16"/>
      <c r="BE986" s="16"/>
      <c r="BF986" s="16"/>
      <c r="BG986" s="16"/>
      <c r="BH986" s="16"/>
      <c r="BI986" s="16"/>
      <c r="BJ986" s="16"/>
      <c r="BK986" s="16"/>
      <c r="BL986" s="16"/>
      <c r="BM986" s="16"/>
      <c r="BN986" s="16"/>
      <c r="BO986" s="16"/>
      <c r="BP986" s="16"/>
      <c r="BQ986" s="16"/>
      <c r="BR986" s="16"/>
      <c r="BS986" s="16"/>
      <c r="BT986" s="16"/>
      <c r="BU986" s="16"/>
      <c r="BV986" s="16"/>
      <c r="BW986" s="16"/>
      <c r="BX986" s="16"/>
      <c r="BY986" s="16"/>
      <c r="BZ986" s="16"/>
      <c r="CA986" s="16"/>
      <c r="CB986" s="16"/>
    </row>
    <row r="987" spans="1:80" ht="16.149999999999999" customHeight="1" x14ac:dyDescent="0.25">
      <c r="A987" s="16"/>
      <c r="B987" s="16"/>
      <c r="C987" s="16"/>
      <c r="D987" s="16"/>
      <c r="E987" s="16"/>
      <c r="F987" s="16"/>
      <c r="G987" s="17"/>
      <c r="H987" s="17"/>
      <c r="I987" s="17"/>
      <c r="J987" s="17"/>
      <c r="K987" s="17"/>
      <c r="L987" s="18" t="s">
        <v>1403</v>
      </c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</row>
    <row r="988" spans="1:80" ht="16.149999999999999" customHeight="1" x14ac:dyDescent="0.25">
      <c r="A988" s="16"/>
      <c r="B988" s="16"/>
      <c r="C988" s="16"/>
      <c r="D988" s="16"/>
      <c r="E988" s="16"/>
      <c r="F988" s="16"/>
      <c r="G988" s="17"/>
      <c r="H988" s="17"/>
      <c r="I988" s="17"/>
      <c r="J988" s="17"/>
      <c r="K988" s="17"/>
      <c r="L988" s="18" t="s">
        <v>1404</v>
      </c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6"/>
      <c r="AW988" s="16"/>
      <c r="AX988" s="16"/>
      <c r="AY988" s="16"/>
      <c r="AZ988" s="16"/>
      <c r="BA988" s="16"/>
      <c r="BB988" s="16"/>
      <c r="BC988" s="16"/>
      <c r="BD988" s="16"/>
      <c r="BE988" s="16"/>
      <c r="BF988" s="16"/>
      <c r="BG988" s="16"/>
      <c r="BH988" s="16"/>
      <c r="BI988" s="16"/>
      <c r="BJ988" s="16"/>
      <c r="BK988" s="16"/>
      <c r="BL988" s="16"/>
      <c r="BM988" s="16"/>
      <c r="BN988" s="16"/>
      <c r="BO988" s="16"/>
      <c r="BP988" s="16"/>
      <c r="BQ988" s="16"/>
      <c r="BR988" s="16"/>
      <c r="BS988" s="16"/>
      <c r="BT988" s="16"/>
      <c r="BU988" s="16"/>
      <c r="BV988" s="16"/>
      <c r="BW988" s="16"/>
      <c r="BX988" s="16"/>
      <c r="BY988" s="16"/>
      <c r="BZ988" s="16"/>
      <c r="CA988" s="16"/>
      <c r="CB988" s="16"/>
    </row>
    <row r="989" spans="1:80" ht="16.149999999999999" customHeight="1" x14ac:dyDescent="0.25">
      <c r="A989" s="16"/>
      <c r="B989" s="16"/>
      <c r="C989" s="16"/>
      <c r="D989" s="16"/>
      <c r="E989" s="16"/>
      <c r="F989" s="16"/>
      <c r="G989" s="17"/>
      <c r="H989" s="17"/>
      <c r="I989" s="17"/>
      <c r="J989" s="17"/>
      <c r="K989" s="17"/>
      <c r="L989" s="18" t="s">
        <v>1405</v>
      </c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6"/>
      <c r="AW989" s="16"/>
      <c r="AX989" s="16"/>
      <c r="AY989" s="16"/>
      <c r="AZ989" s="16"/>
      <c r="BA989" s="16"/>
      <c r="BB989" s="16"/>
      <c r="BC989" s="16"/>
      <c r="BD989" s="16"/>
      <c r="BE989" s="16"/>
      <c r="BF989" s="16"/>
      <c r="BG989" s="16"/>
      <c r="BH989" s="16"/>
      <c r="BI989" s="16"/>
      <c r="BJ989" s="16"/>
      <c r="BK989" s="16"/>
      <c r="BL989" s="16"/>
      <c r="BM989" s="16"/>
      <c r="BN989" s="16"/>
      <c r="BO989" s="16"/>
      <c r="BP989" s="16"/>
      <c r="BQ989" s="16"/>
      <c r="BR989" s="16"/>
      <c r="BS989" s="16"/>
      <c r="BT989" s="16"/>
      <c r="BU989" s="16"/>
      <c r="BV989" s="16"/>
      <c r="BW989" s="16"/>
      <c r="BX989" s="16"/>
      <c r="BY989" s="16"/>
      <c r="BZ989" s="16"/>
      <c r="CA989" s="16"/>
      <c r="CB989" s="16"/>
    </row>
    <row r="990" spans="1:80" ht="16.149999999999999" customHeight="1" x14ac:dyDescent="0.25">
      <c r="A990" s="16"/>
      <c r="B990" s="16"/>
      <c r="C990" s="16"/>
      <c r="D990" s="16"/>
      <c r="E990" s="16"/>
      <c r="F990" s="16"/>
      <c r="G990" s="17"/>
      <c r="H990" s="17"/>
      <c r="I990" s="17"/>
      <c r="J990" s="17"/>
      <c r="K990" s="17"/>
      <c r="L990" s="18" t="s">
        <v>1406</v>
      </c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6"/>
      <c r="AW990" s="16"/>
      <c r="AX990" s="16"/>
      <c r="AY990" s="16"/>
      <c r="AZ990" s="16"/>
      <c r="BA990" s="16"/>
      <c r="BB990" s="16"/>
      <c r="BC990" s="16"/>
      <c r="BD990" s="16"/>
      <c r="BE990" s="16"/>
      <c r="BF990" s="16"/>
      <c r="BG990" s="16"/>
      <c r="BH990" s="16"/>
      <c r="BI990" s="16"/>
      <c r="BJ990" s="16"/>
      <c r="BK990" s="16"/>
      <c r="BL990" s="16"/>
      <c r="BM990" s="16"/>
      <c r="BN990" s="16"/>
      <c r="BO990" s="16"/>
      <c r="BP990" s="16"/>
      <c r="BQ990" s="16"/>
      <c r="BR990" s="16"/>
      <c r="BS990" s="16"/>
      <c r="BT990" s="16"/>
      <c r="BU990" s="16"/>
      <c r="BV990" s="16"/>
      <c r="BW990" s="16"/>
      <c r="BX990" s="16"/>
      <c r="BY990" s="16"/>
      <c r="BZ990" s="16"/>
      <c r="CA990" s="16"/>
      <c r="CB990" s="16"/>
    </row>
    <row r="991" spans="1:80" ht="16.149999999999999" customHeight="1" x14ac:dyDescent="0.25">
      <c r="A991" s="16"/>
      <c r="B991" s="16"/>
      <c r="C991" s="16"/>
      <c r="D991" s="16"/>
      <c r="E991" s="16"/>
      <c r="F991" s="16"/>
      <c r="G991" s="17"/>
      <c r="H991" s="17"/>
      <c r="I991" s="17"/>
      <c r="J991" s="17"/>
      <c r="K991" s="17"/>
      <c r="L991" s="18" t="s">
        <v>1407</v>
      </c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6"/>
      <c r="AW991" s="16"/>
      <c r="AX991" s="16"/>
      <c r="AY991" s="16"/>
      <c r="AZ991" s="16"/>
      <c r="BA991" s="16"/>
      <c r="BB991" s="16"/>
      <c r="BC991" s="16"/>
      <c r="BD991" s="16"/>
      <c r="BE991" s="16"/>
      <c r="BF991" s="16"/>
      <c r="BG991" s="16"/>
      <c r="BH991" s="16"/>
      <c r="BI991" s="16"/>
      <c r="BJ991" s="16"/>
      <c r="BK991" s="16"/>
      <c r="BL991" s="16"/>
      <c r="BM991" s="16"/>
      <c r="BN991" s="16"/>
      <c r="BO991" s="16"/>
      <c r="BP991" s="16"/>
      <c r="BQ991" s="16"/>
      <c r="BR991" s="16"/>
      <c r="BS991" s="16"/>
      <c r="BT991" s="16"/>
      <c r="BU991" s="16"/>
      <c r="BV991" s="16"/>
      <c r="BW991" s="16"/>
      <c r="BX991" s="16"/>
      <c r="BY991" s="16"/>
      <c r="BZ991" s="16"/>
      <c r="CA991" s="16"/>
      <c r="CB991" s="16"/>
    </row>
    <row r="992" spans="1:80" ht="16.149999999999999" customHeight="1" x14ac:dyDescent="0.25">
      <c r="A992" s="16"/>
      <c r="B992" s="16"/>
      <c r="C992" s="16"/>
      <c r="D992" s="16"/>
      <c r="E992" s="16"/>
      <c r="F992" s="16"/>
      <c r="G992" s="17"/>
      <c r="H992" s="17"/>
      <c r="I992" s="17"/>
      <c r="J992" s="17"/>
      <c r="K992" s="17"/>
      <c r="L992" s="18" t="s">
        <v>1408</v>
      </c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</row>
    <row r="993" spans="1:80" ht="16.149999999999999" customHeight="1" x14ac:dyDescent="0.25">
      <c r="A993" s="16"/>
      <c r="B993" s="16"/>
      <c r="C993" s="16"/>
      <c r="D993" s="16"/>
      <c r="E993" s="16"/>
      <c r="F993" s="16"/>
      <c r="G993" s="17"/>
      <c r="H993" s="17"/>
      <c r="I993" s="17"/>
      <c r="J993" s="17"/>
      <c r="K993" s="17"/>
      <c r="L993" s="18" t="s">
        <v>1409</v>
      </c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6"/>
      <c r="AW993" s="16"/>
      <c r="AX993" s="16"/>
      <c r="AY993" s="16"/>
      <c r="AZ993" s="16"/>
      <c r="BA993" s="16"/>
      <c r="BB993" s="16"/>
      <c r="BC993" s="16"/>
      <c r="BD993" s="16"/>
      <c r="BE993" s="16"/>
      <c r="BF993" s="16"/>
      <c r="BG993" s="16"/>
      <c r="BH993" s="16"/>
      <c r="BI993" s="16"/>
      <c r="BJ993" s="16"/>
      <c r="BK993" s="16"/>
      <c r="BL993" s="16"/>
      <c r="BM993" s="16"/>
      <c r="BN993" s="16"/>
      <c r="BO993" s="16"/>
      <c r="BP993" s="16"/>
      <c r="BQ993" s="16"/>
      <c r="BR993" s="16"/>
      <c r="BS993" s="16"/>
      <c r="BT993" s="16"/>
      <c r="BU993" s="16"/>
      <c r="BV993" s="16"/>
      <c r="BW993" s="16"/>
      <c r="BX993" s="16"/>
      <c r="BY993" s="16"/>
      <c r="BZ993" s="16"/>
      <c r="CA993" s="16"/>
      <c r="CB993" s="16"/>
    </row>
    <row r="994" spans="1:80" ht="16.149999999999999" customHeight="1" x14ac:dyDescent="0.25">
      <c r="A994" s="16"/>
      <c r="B994" s="16"/>
      <c r="C994" s="16"/>
      <c r="D994" s="16"/>
      <c r="E994" s="16"/>
      <c r="F994" s="16"/>
      <c r="G994" s="17"/>
      <c r="H994" s="17"/>
      <c r="I994" s="17"/>
      <c r="J994" s="17"/>
      <c r="K994" s="17"/>
      <c r="L994" s="18" t="s">
        <v>1410</v>
      </c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6"/>
      <c r="AW994" s="16"/>
      <c r="AX994" s="16"/>
      <c r="AY994" s="16"/>
      <c r="AZ994" s="16"/>
      <c r="BA994" s="16"/>
      <c r="BB994" s="16"/>
      <c r="BC994" s="16"/>
      <c r="BD994" s="16"/>
      <c r="BE994" s="16"/>
      <c r="BF994" s="16"/>
      <c r="BG994" s="16"/>
      <c r="BH994" s="16"/>
      <c r="BI994" s="16"/>
      <c r="BJ994" s="16"/>
      <c r="BK994" s="16"/>
      <c r="BL994" s="16"/>
      <c r="BM994" s="16"/>
      <c r="BN994" s="16"/>
      <c r="BO994" s="16"/>
      <c r="BP994" s="16"/>
      <c r="BQ994" s="16"/>
      <c r="BR994" s="16"/>
      <c r="BS994" s="16"/>
      <c r="BT994" s="16"/>
      <c r="BU994" s="16"/>
      <c r="BV994" s="16"/>
      <c r="BW994" s="16"/>
      <c r="BX994" s="16"/>
      <c r="BY994" s="16"/>
      <c r="BZ994" s="16"/>
      <c r="CA994" s="16"/>
      <c r="CB994" s="16"/>
    </row>
    <row r="995" spans="1:80" ht="16.149999999999999" customHeight="1" x14ac:dyDescent="0.25">
      <c r="A995" s="16"/>
      <c r="B995" s="16"/>
      <c r="C995" s="16"/>
      <c r="D995" s="16"/>
      <c r="E995" s="16"/>
      <c r="F995" s="16"/>
      <c r="G995" s="17"/>
      <c r="H995" s="17"/>
      <c r="I995" s="17"/>
      <c r="J995" s="17"/>
      <c r="K995" s="17"/>
      <c r="L995" s="18" t="s">
        <v>1411</v>
      </c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</row>
    <row r="996" spans="1:80" ht="16.149999999999999" customHeight="1" x14ac:dyDescent="0.25">
      <c r="A996" s="16"/>
      <c r="B996" s="16"/>
      <c r="C996" s="16"/>
      <c r="D996" s="16"/>
      <c r="E996" s="16"/>
      <c r="F996" s="16"/>
      <c r="G996" s="17"/>
      <c r="H996" s="17"/>
      <c r="I996" s="17"/>
      <c r="J996" s="17"/>
      <c r="K996" s="17"/>
      <c r="L996" s="18" t="s">
        <v>1412</v>
      </c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6"/>
      <c r="AW996" s="16"/>
      <c r="AX996" s="16"/>
      <c r="AY996" s="16"/>
      <c r="AZ996" s="16"/>
      <c r="BA996" s="16"/>
      <c r="BB996" s="16"/>
      <c r="BC996" s="16"/>
      <c r="BD996" s="16"/>
      <c r="BE996" s="16"/>
      <c r="BF996" s="16"/>
      <c r="BG996" s="16"/>
      <c r="BH996" s="16"/>
      <c r="BI996" s="16"/>
      <c r="BJ996" s="16"/>
      <c r="BK996" s="16"/>
      <c r="BL996" s="16"/>
      <c r="BM996" s="16"/>
      <c r="BN996" s="16"/>
      <c r="BO996" s="16"/>
      <c r="BP996" s="16"/>
      <c r="BQ996" s="16"/>
      <c r="BR996" s="16"/>
      <c r="BS996" s="16"/>
      <c r="BT996" s="16"/>
      <c r="BU996" s="16"/>
      <c r="BV996" s="16"/>
      <c r="BW996" s="16"/>
      <c r="BX996" s="16"/>
      <c r="BY996" s="16"/>
      <c r="BZ996" s="16"/>
      <c r="CA996" s="16"/>
      <c r="CB996" s="16"/>
    </row>
    <row r="997" spans="1:80" ht="16.149999999999999" customHeight="1" x14ac:dyDescent="0.25">
      <c r="A997" s="16"/>
      <c r="B997" s="16"/>
      <c r="C997" s="16"/>
      <c r="D997" s="16"/>
      <c r="E997" s="16"/>
      <c r="F997" s="16"/>
      <c r="G997" s="17"/>
      <c r="H997" s="17"/>
      <c r="I997" s="17"/>
      <c r="J997" s="17"/>
      <c r="K997" s="17"/>
      <c r="L997" s="18" t="s">
        <v>1413</v>
      </c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</row>
    <row r="998" spans="1:80" ht="16.149999999999999" customHeight="1" x14ac:dyDescent="0.25">
      <c r="A998" s="16"/>
      <c r="B998" s="16"/>
      <c r="C998" s="16"/>
      <c r="D998" s="16"/>
      <c r="E998" s="16"/>
      <c r="F998" s="16"/>
      <c r="G998" s="17"/>
      <c r="H998" s="17"/>
      <c r="I998" s="17"/>
      <c r="J998" s="17"/>
      <c r="K998" s="17"/>
      <c r="L998" s="18" t="s">
        <v>1414</v>
      </c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6"/>
      <c r="AW998" s="16"/>
      <c r="AX998" s="16"/>
      <c r="AY998" s="16"/>
      <c r="AZ998" s="16"/>
      <c r="BA998" s="16"/>
      <c r="BB998" s="16"/>
      <c r="BC998" s="16"/>
      <c r="BD998" s="16"/>
      <c r="BE998" s="16"/>
      <c r="BF998" s="16"/>
      <c r="BG998" s="16"/>
      <c r="BH998" s="16"/>
      <c r="BI998" s="16"/>
      <c r="BJ998" s="16"/>
      <c r="BK998" s="16"/>
      <c r="BL998" s="16"/>
      <c r="BM998" s="16"/>
      <c r="BN998" s="16"/>
      <c r="BO998" s="16"/>
      <c r="BP998" s="16"/>
      <c r="BQ998" s="16"/>
      <c r="BR998" s="16"/>
      <c r="BS998" s="16"/>
      <c r="BT998" s="16"/>
      <c r="BU998" s="16"/>
      <c r="BV998" s="16"/>
      <c r="BW998" s="16"/>
      <c r="BX998" s="16"/>
      <c r="BY998" s="16"/>
      <c r="BZ998" s="16"/>
      <c r="CA998" s="16"/>
      <c r="CB998" s="16"/>
    </row>
    <row r="999" spans="1:80" ht="16.149999999999999" customHeight="1" x14ac:dyDescent="0.25">
      <c r="A999" s="16"/>
      <c r="B999" s="16"/>
      <c r="C999" s="16"/>
      <c r="D999" s="16"/>
      <c r="E999" s="16"/>
      <c r="F999" s="16"/>
      <c r="G999" s="17"/>
      <c r="H999" s="17"/>
      <c r="I999" s="17"/>
      <c r="J999" s="17"/>
      <c r="K999" s="17"/>
      <c r="L999" s="18" t="s">
        <v>1415</v>
      </c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</row>
    <row r="1000" spans="1:80" ht="16.149999999999999" customHeight="1" x14ac:dyDescent="0.25">
      <c r="A1000" s="16"/>
      <c r="B1000" s="16"/>
      <c r="C1000" s="16"/>
      <c r="D1000" s="16"/>
      <c r="E1000" s="16"/>
      <c r="F1000" s="16"/>
      <c r="G1000" s="17"/>
      <c r="H1000" s="17"/>
      <c r="I1000" s="17"/>
      <c r="J1000" s="17"/>
      <c r="K1000" s="17"/>
      <c r="L1000" s="18" t="s">
        <v>1416</v>
      </c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6"/>
      <c r="AW1000" s="16"/>
      <c r="AX1000" s="16"/>
      <c r="AY1000" s="16"/>
      <c r="AZ1000" s="16"/>
      <c r="BA1000" s="16"/>
      <c r="BB1000" s="16"/>
      <c r="BC1000" s="16"/>
      <c r="BD1000" s="16"/>
      <c r="BE1000" s="16"/>
      <c r="BF1000" s="16"/>
      <c r="BG1000" s="16"/>
      <c r="BH1000" s="16"/>
      <c r="BI1000" s="16"/>
      <c r="BJ1000" s="16"/>
      <c r="BK1000" s="16"/>
      <c r="BL1000" s="16"/>
      <c r="BM1000" s="16"/>
      <c r="BN1000" s="16"/>
      <c r="BO1000" s="16"/>
      <c r="BP1000" s="16"/>
      <c r="BQ1000" s="16"/>
      <c r="BR1000" s="16"/>
      <c r="BS1000" s="16"/>
      <c r="BT1000" s="16"/>
      <c r="BU1000" s="16"/>
      <c r="BV1000" s="16"/>
      <c r="BW1000" s="16"/>
      <c r="BX1000" s="16"/>
      <c r="BY1000" s="16"/>
      <c r="BZ1000" s="16"/>
      <c r="CA1000" s="16"/>
      <c r="CB1000" s="16"/>
    </row>
    <row r="1001" spans="1:80" ht="16.149999999999999" customHeight="1" x14ac:dyDescent="0.25">
      <c r="A1001" s="16"/>
      <c r="B1001" s="16"/>
      <c r="C1001" s="16"/>
      <c r="D1001" s="16"/>
      <c r="E1001" s="16"/>
      <c r="F1001" s="16"/>
      <c r="G1001" s="17"/>
      <c r="H1001" s="17"/>
      <c r="I1001" s="17"/>
      <c r="J1001" s="17"/>
      <c r="K1001" s="17"/>
      <c r="L1001" s="18" t="s">
        <v>1417</v>
      </c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</row>
    <row r="1002" spans="1:80" ht="16.149999999999999" customHeight="1" x14ac:dyDescent="0.25">
      <c r="A1002" s="16"/>
      <c r="B1002" s="16"/>
      <c r="C1002" s="16"/>
      <c r="D1002" s="16"/>
      <c r="E1002" s="16"/>
      <c r="F1002" s="16"/>
      <c r="G1002" s="17"/>
      <c r="H1002" s="17"/>
      <c r="I1002" s="17"/>
      <c r="J1002" s="17"/>
      <c r="K1002" s="17"/>
      <c r="L1002" s="18" t="s">
        <v>1418</v>
      </c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6"/>
      <c r="AW1002" s="16"/>
      <c r="AX1002" s="16"/>
      <c r="AY1002" s="16"/>
      <c r="AZ1002" s="16"/>
      <c r="BA1002" s="16"/>
      <c r="BB1002" s="16"/>
      <c r="BC1002" s="16"/>
      <c r="BD1002" s="16"/>
      <c r="BE1002" s="16"/>
      <c r="BF1002" s="16"/>
      <c r="BG1002" s="16"/>
      <c r="BH1002" s="16"/>
      <c r="BI1002" s="16"/>
      <c r="BJ1002" s="16"/>
      <c r="BK1002" s="16"/>
      <c r="BL1002" s="16"/>
      <c r="BM1002" s="16"/>
      <c r="BN1002" s="16"/>
      <c r="BO1002" s="16"/>
      <c r="BP1002" s="16"/>
      <c r="BQ1002" s="16"/>
      <c r="BR1002" s="16"/>
      <c r="BS1002" s="16"/>
      <c r="BT1002" s="16"/>
      <c r="BU1002" s="16"/>
      <c r="BV1002" s="16"/>
      <c r="BW1002" s="16"/>
      <c r="BX1002" s="16"/>
      <c r="BY1002" s="16"/>
      <c r="BZ1002" s="16"/>
      <c r="CA1002" s="16"/>
      <c r="CB1002" s="16"/>
    </row>
    <row r="1003" spans="1:80" ht="16.149999999999999" customHeight="1" x14ac:dyDescent="0.25">
      <c r="A1003" s="16"/>
      <c r="B1003" s="16"/>
      <c r="C1003" s="16"/>
      <c r="D1003" s="16"/>
      <c r="E1003" s="16"/>
      <c r="F1003" s="16"/>
      <c r="G1003" s="17"/>
      <c r="H1003" s="17"/>
      <c r="I1003" s="17"/>
      <c r="J1003" s="17"/>
      <c r="K1003" s="17"/>
      <c r="L1003" s="18" t="s">
        <v>1419</v>
      </c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</row>
    <row r="1004" spans="1:80" ht="16.149999999999999" customHeight="1" x14ac:dyDescent="0.25">
      <c r="A1004" s="16"/>
      <c r="B1004" s="16"/>
      <c r="C1004" s="16"/>
      <c r="D1004" s="16"/>
      <c r="E1004" s="16"/>
      <c r="F1004" s="16"/>
      <c r="G1004" s="17"/>
      <c r="H1004" s="17"/>
      <c r="I1004" s="17"/>
      <c r="J1004" s="17"/>
      <c r="K1004" s="17"/>
      <c r="L1004" s="18" t="s">
        <v>1420</v>
      </c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6"/>
      <c r="AW1004" s="16"/>
      <c r="AX1004" s="16"/>
      <c r="AY1004" s="16"/>
      <c r="AZ1004" s="16"/>
      <c r="BA1004" s="16"/>
      <c r="BB1004" s="16"/>
      <c r="BC1004" s="16"/>
      <c r="BD1004" s="16"/>
      <c r="BE1004" s="16"/>
      <c r="BF1004" s="16"/>
      <c r="BG1004" s="16"/>
      <c r="BH1004" s="16"/>
      <c r="BI1004" s="16"/>
      <c r="BJ1004" s="16"/>
      <c r="BK1004" s="16"/>
      <c r="BL1004" s="16"/>
      <c r="BM1004" s="16"/>
      <c r="BN1004" s="16"/>
      <c r="BO1004" s="16"/>
      <c r="BP1004" s="16"/>
      <c r="BQ1004" s="16"/>
      <c r="BR1004" s="16"/>
      <c r="BS1004" s="16"/>
      <c r="BT1004" s="16"/>
      <c r="BU1004" s="16"/>
      <c r="BV1004" s="16"/>
      <c r="BW1004" s="16"/>
      <c r="BX1004" s="16"/>
      <c r="BY1004" s="16"/>
      <c r="BZ1004" s="16"/>
      <c r="CA1004" s="16"/>
      <c r="CB1004" s="16"/>
    </row>
    <row r="1005" spans="1:80" ht="16.149999999999999" customHeight="1" x14ac:dyDescent="0.25">
      <c r="A1005" s="16"/>
      <c r="B1005" s="16"/>
      <c r="C1005" s="16"/>
      <c r="D1005" s="16"/>
      <c r="E1005" s="16"/>
      <c r="F1005" s="16"/>
      <c r="G1005" s="17"/>
      <c r="H1005" s="17"/>
      <c r="I1005" s="17"/>
      <c r="J1005" s="17"/>
      <c r="K1005" s="17"/>
      <c r="L1005" s="18" t="s">
        <v>1421</v>
      </c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</row>
    <row r="1006" spans="1:80" ht="16.149999999999999" customHeight="1" x14ac:dyDescent="0.25">
      <c r="A1006" s="16"/>
      <c r="B1006" s="16"/>
      <c r="C1006" s="16"/>
      <c r="D1006" s="16"/>
      <c r="E1006" s="16"/>
      <c r="F1006" s="16"/>
      <c r="G1006" s="17"/>
      <c r="H1006" s="17"/>
      <c r="I1006" s="17"/>
      <c r="J1006" s="17"/>
      <c r="K1006" s="17"/>
      <c r="L1006" s="18" t="s">
        <v>1422</v>
      </c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</row>
    <row r="1007" spans="1:80" ht="16.149999999999999" customHeight="1" x14ac:dyDescent="0.25">
      <c r="A1007" s="16"/>
      <c r="B1007" s="16"/>
      <c r="C1007" s="16"/>
      <c r="D1007" s="16"/>
      <c r="E1007" s="16"/>
      <c r="F1007" s="16"/>
      <c r="G1007" s="17"/>
      <c r="H1007" s="17"/>
      <c r="I1007" s="17"/>
      <c r="J1007" s="17"/>
      <c r="K1007" s="17"/>
      <c r="L1007" s="18" t="s">
        <v>1423</v>
      </c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6"/>
      <c r="AW1007" s="16"/>
      <c r="AX1007" s="16"/>
      <c r="AY1007" s="16"/>
      <c r="AZ1007" s="16"/>
      <c r="BA1007" s="16"/>
      <c r="BB1007" s="16"/>
      <c r="BC1007" s="16"/>
      <c r="BD1007" s="16"/>
      <c r="BE1007" s="16"/>
      <c r="BF1007" s="16"/>
      <c r="BG1007" s="16"/>
      <c r="BH1007" s="16"/>
      <c r="BI1007" s="16"/>
      <c r="BJ1007" s="16"/>
      <c r="BK1007" s="16"/>
      <c r="BL1007" s="16"/>
      <c r="BM1007" s="16"/>
      <c r="BN1007" s="16"/>
      <c r="BO1007" s="16"/>
      <c r="BP1007" s="16"/>
      <c r="BQ1007" s="16"/>
      <c r="BR1007" s="16"/>
      <c r="BS1007" s="16"/>
      <c r="BT1007" s="16"/>
      <c r="BU1007" s="16"/>
      <c r="BV1007" s="16"/>
      <c r="BW1007" s="16"/>
      <c r="BX1007" s="16"/>
      <c r="BY1007" s="16"/>
      <c r="BZ1007" s="16"/>
      <c r="CA1007" s="16"/>
      <c r="CB1007" s="16"/>
    </row>
    <row r="1008" spans="1:80" ht="16.149999999999999" customHeight="1" x14ac:dyDescent="0.25">
      <c r="A1008" s="16"/>
      <c r="B1008" s="16"/>
      <c r="C1008" s="16"/>
      <c r="D1008" s="16"/>
      <c r="E1008" s="16"/>
      <c r="F1008" s="16"/>
      <c r="G1008" s="17"/>
      <c r="H1008" s="17"/>
      <c r="I1008" s="17"/>
      <c r="J1008" s="17"/>
      <c r="K1008" s="17"/>
      <c r="L1008" s="18" t="s">
        <v>1424</v>
      </c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</row>
    <row r="1009" spans="1:80" ht="16.149999999999999" customHeight="1" x14ac:dyDescent="0.25">
      <c r="A1009" s="16"/>
      <c r="B1009" s="16"/>
      <c r="C1009" s="16"/>
      <c r="D1009" s="16"/>
      <c r="E1009" s="16"/>
      <c r="F1009" s="16"/>
      <c r="G1009" s="17"/>
      <c r="H1009" s="17"/>
      <c r="I1009" s="17"/>
      <c r="J1009" s="17"/>
      <c r="K1009" s="17"/>
      <c r="L1009" s="18" t="s">
        <v>1425</v>
      </c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6"/>
      <c r="AW1009" s="16"/>
      <c r="AX1009" s="16"/>
      <c r="AY1009" s="16"/>
      <c r="AZ1009" s="16"/>
      <c r="BA1009" s="16"/>
      <c r="BB1009" s="16"/>
      <c r="BC1009" s="16"/>
      <c r="BD1009" s="16"/>
      <c r="BE1009" s="16"/>
      <c r="BF1009" s="16"/>
      <c r="BG1009" s="16"/>
      <c r="BH1009" s="16"/>
      <c r="BI1009" s="16"/>
      <c r="BJ1009" s="16"/>
      <c r="BK1009" s="16"/>
      <c r="BL1009" s="16"/>
      <c r="BM1009" s="16"/>
      <c r="BN1009" s="16"/>
      <c r="BO1009" s="16"/>
      <c r="BP1009" s="16"/>
      <c r="BQ1009" s="16"/>
      <c r="BR1009" s="16"/>
      <c r="BS1009" s="16"/>
      <c r="BT1009" s="16"/>
      <c r="BU1009" s="16"/>
      <c r="BV1009" s="16"/>
      <c r="BW1009" s="16"/>
      <c r="BX1009" s="16"/>
      <c r="BY1009" s="16"/>
      <c r="BZ1009" s="16"/>
      <c r="CA1009" s="16"/>
      <c r="CB1009" s="16"/>
    </row>
    <row r="1010" spans="1:80" ht="16.149999999999999" customHeight="1" x14ac:dyDescent="0.25">
      <c r="A1010" s="16"/>
      <c r="B1010" s="16"/>
      <c r="C1010" s="16"/>
      <c r="D1010" s="16"/>
      <c r="E1010" s="16"/>
      <c r="F1010" s="16"/>
      <c r="G1010" s="17"/>
      <c r="H1010" s="17"/>
      <c r="I1010" s="17"/>
      <c r="J1010" s="17"/>
      <c r="K1010" s="17"/>
      <c r="L1010" s="18" t="s">
        <v>1426</v>
      </c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</row>
    <row r="1011" spans="1:80" ht="16.149999999999999" customHeight="1" x14ac:dyDescent="0.25">
      <c r="A1011" s="16"/>
      <c r="B1011" s="16"/>
      <c r="C1011" s="16"/>
      <c r="D1011" s="16"/>
      <c r="E1011" s="16"/>
      <c r="F1011" s="16"/>
      <c r="G1011" s="17"/>
      <c r="H1011" s="17"/>
      <c r="I1011" s="17"/>
      <c r="J1011" s="17"/>
      <c r="K1011" s="17"/>
      <c r="L1011" s="18" t="s">
        <v>1427</v>
      </c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6"/>
      <c r="AW1011" s="16"/>
      <c r="AX1011" s="16"/>
      <c r="AY1011" s="16"/>
      <c r="AZ1011" s="16"/>
      <c r="BA1011" s="16"/>
      <c r="BB1011" s="16"/>
      <c r="BC1011" s="16"/>
      <c r="BD1011" s="16"/>
      <c r="BE1011" s="16"/>
      <c r="BF1011" s="16"/>
      <c r="BG1011" s="16"/>
      <c r="BH1011" s="16"/>
      <c r="BI1011" s="16"/>
      <c r="BJ1011" s="16"/>
      <c r="BK1011" s="16"/>
      <c r="BL1011" s="16"/>
      <c r="BM1011" s="16"/>
      <c r="BN1011" s="16"/>
      <c r="BO1011" s="16"/>
      <c r="BP1011" s="16"/>
      <c r="BQ1011" s="16"/>
      <c r="BR1011" s="16"/>
      <c r="BS1011" s="16"/>
      <c r="BT1011" s="16"/>
      <c r="BU1011" s="16"/>
      <c r="BV1011" s="16"/>
      <c r="BW1011" s="16"/>
      <c r="BX1011" s="16"/>
      <c r="BY1011" s="16"/>
      <c r="BZ1011" s="16"/>
      <c r="CA1011" s="16"/>
      <c r="CB1011" s="16"/>
    </row>
    <row r="1012" spans="1:80" ht="16.149999999999999" customHeight="1" x14ac:dyDescent="0.25">
      <c r="A1012" s="16"/>
      <c r="B1012" s="16"/>
      <c r="C1012" s="16"/>
      <c r="D1012" s="16"/>
      <c r="E1012" s="16"/>
      <c r="F1012" s="16"/>
      <c r="G1012" s="17"/>
      <c r="H1012" s="17"/>
      <c r="I1012" s="17"/>
      <c r="J1012" s="17"/>
      <c r="K1012" s="17"/>
      <c r="L1012" s="18" t="s">
        <v>1428</v>
      </c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</row>
    <row r="1013" spans="1:80" ht="16.149999999999999" customHeight="1" x14ac:dyDescent="0.25">
      <c r="A1013" s="16"/>
      <c r="B1013" s="16"/>
      <c r="C1013" s="16"/>
      <c r="D1013" s="16"/>
      <c r="E1013" s="16"/>
      <c r="F1013" s="16"/>
      <c r="G1013" s="17"/>
      <c r="H1013" s="17"/>
      <c r="I1013" s="17"/>
      <c r="J1013" s="17"/>
      <c r="K1013" s="17"/>
      <c r="L1013" s="18" t="s">
        <v>1429</v>
      </c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6"/>
      <c r="AW1013" s="16"/>
      <c r="AX1013" s="16"/>
      <c r="AY1013" s="16"/>
      <c r="AZ1013" s="16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6"/>
      <c r="BZ1013" s="16"/>
      <c r="CA1013" s="16"/>
      <c r="CB1013" s="16"/>
    </row>
    <row r="1014" spans="1:80" ht="16.149999999999999" customHeight="1" x14ac:dyDescent="0.25">
      <c r="A1014" s="16"/>
      <c r="B1014" s="16"/>
      <c r="C1014" s="16"/>
      <c r="D1014" s="16"/>
      <c r="E1014" s="16"/>
      <c r="F1014" s="16"/>
      <c r="G1014" s="17"/>
      <c r="H1014" s="17"/>
      <c r="I1014" s="17"/>
      <c r="J1014" s="17"/>
      <c r="K1014" s="17"/>
      <c r="L1014" s="18" t="s">
        <v>1430</v>
      </c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</row>
    <row r="1015" spans="1:80" ht="16.149999999999999" customHeight="1" x14ac:dyDescent="0.25">
      <c r="A1015" s="16"/>
      <c r="B1015" s="16"/>
      <c r="C1015" s="16"/>
      <c r="D1015" s="16"/>
      <c r="E1015" s="16"/>
      <c r="F1015" s="16"/>
      <c r="G1015" s="17"/>
      <c r="H1015" s="17"/>
      <c r="I1015" s="17"/>
      <c r="J1015" s="17"/>
      <c r="K1015" s="17"/>
      <c r="L1015" s="18" t="s">
        <v>1431</v>
      </c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6"/>
      <c r="AW1015" s="16"/>
      <c r="AX1015" s="16"/>
      <c r="AY1015" s="16"/>
      <c r="AZ1015" s="16"/>
      <c r="BA1015" s="16"/>
      <c r="BB1015" s="16"/>
      <c r="BC1015" s="16"/>
      <c r="BD1015" s="16"/>
      <c r="BE1015" s="16"/>
      <c r="BF1015" s="16"/>
      <c r="BG1015" s="16"/>
      <c r="BH1015" s="16"/>
      <c r="BI1015" s="16"/>
      <c r="BJ1015" s="16"/>
      <c r="BK1015" s="16"/>
      <c r="BL1015" s="16"/>
      <c r="BM1015" s="16"/>
      <c r="BN1015" s="16"/>
      <c r="BO1015" s="16"/>
      <c r="BP1015" s="16"/>
      <c r="BQ1015" s="16"/>
      <c r="BR1015" s="16"/>
      <c r="BS1015" s="16"/>
      <c r="BT1015" s="16"/>
      <c r="BU1015" s="16"/>
      <c r="BV1015" s="16"/>
      <c r="BW1015" s="16"/>
      <c r="BX1015" s="16"/>
      <c r="BY1015" s="16"/>
      <c r="BZ1015" s="16"/>
      <c r="CA1015" s="16"/>
      <c r="CB1015" s="16"/>
    </row>
    <row r="1016" spans="1:80" ht="16.149999999999999" customHeight="1" x14ac:dyDescent="0.25">
      <c r="A1016" s="16"/>
      <c r="B1016" s="16"/>
      <c r="C1016" s="16"/>
      <c r="D1016" s="16"/>
      <c r="E1016" s="16"/>
      <c r="F1016" s="16"/>
      <c r="G1016" s="17"/>
      <c r="H1016" s="17"/>
      <c r="I1016" s="17"/>
      <c r="J1016" s="17"/>
      <c r="K1016" s="17"/>
      <c r="L1016" s="18" t="s">
        <v>1432</v>
      </c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6"/>
      <c r="AW1016" s="16"/>
      <c r="AX1016" s="16"/>
      <c r="AY1016" s="16"/>
      <c r="AZ1016" s="16"/>
      <c r="BA1016" s="16"/>
      <c r="BB1016" s="16"/>
      <c r="BC1016" s="16"/>
      <c r="BD1016" s="16"/>
      <c r="BE1016" s="16"/>
      <c r="BF1016" s="16"/>
      <c r="BG1016" s="16"/>
      <c r="BH1016" s="16"/>
      <c r="BI1016" s="16"/>
      <c r="BJ1016" s="16"/>
      <c r="BK1016" s="16"/>
      <c r="BL1016" s="16"/>
      <c r="BM1016" s="16"/>
      <c r="BN1016" s="16"/>
      <c r="BO1016" s="16"/>
      <c r="BP1016" s="16"/>
      <c r="BQ1016" s="16"/>
      <c r="BR1016" s="16"/>
      <c r="BS1016" s="16"/>
      <c r="BT1016" s="16"/>
      <c r="BU1016" s="16"/>
      <c r="BV1016" s="16"/>
      <c r="BW1016" s="16"/>
      <c r="BX1016" s="16"/>
      <c r="BY1016" s="16"/>
      <c r="BZ1016" s="16"/>
      <c r="CA1016" s="16"/>
      <c r="CB1016" s="16"/>
    </row>
    <row r="1017" spans="1:80" ht="16.149999999999999" customHeight="1" x14ac:dyDescent="0.25">
      <c r="A1017" s="16"/>
      <c r="B1017" s="16"/>
      <c r="C1017" s="16"/>
      <c r="D1017" s="16"/>
      <c r="E1017" s="16"/>
      <c r="F1017" s="16"/>
      <c r="G1017" s="17"/>
      <c r="H1017" s="17"/>
      <c r="I1017" s="17"/>
      <c r="J1017" s="17"/>
      <c r="K1017" s="17"/>
      <c r="L1017" s="18" t="s">
        <v>1433</v>
      </c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</row>
    <row r="1018" spans="1:80" ht="16.149999999999999" customHeight="1" x14ac:dyDescent="0.25">
      <c r="A1018" s="16"/>
      <c r="B1018" s="16"/>
      <c r="C1018" s="16"/>
      <c r="D1018" s="16"/>
      <c r="E1018" s="16"/>
      <c r="F1018" s="16"/>
      <c r="G1018" s="17"/>
      <c r="H1018" s="17"/>
      <c r="I1018" s="17"/>
      <c r="J1018" s="17"/>
      <c r="K1018" s="17"/>
      <c r="L1018" s="18" t="s">
        <v>1434</v>
      </c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6"/>
      <c r="AW1018" s="16"/>
      <c r="AX1018" s="16"/>
      <c r="AY1018" s="16"/>
      <c r="AZ1018" s="16"/>
      <c r="BA1018" s="16"/>
      <c r="BB1018" s="16"/>
      <c r="BC1018" s="16"/>
      <c r="BD1018" s="16"/>
      <c r="BE1018" s="16"/>
      <c r="BF1018" s="16"/>
      <c r="BG1018" s="16"/>
      <c r="BH1018" s="16"/>
      <c r="BI1018" s="16"/>
      <c r="BJ1018" s="16"/>
      <c r="BK1018" s="16"/>
      <c r="BL1018" s="16"/>
      <c r="BM1018" s="16"/>
      <c r="BN1018" s="16"/>
      <c r="BO1018" s="16"/>
      <c r="BP1018" s="16"/>
      <c r="BQ1018" s="16"/>
      <c r="BR1018" s="16"/>
      <c r="BS1018" s="16"/>
      <c r="BT1018" s="16"/>
      <c r="BU1018" s="16"/>
      <c r="BV1018" s="16"/>
      <c r="BW1018" s="16"/>
      <c r="BX1018" s="16"/>
      <c r="BY1018" s="16"/>
      <c r="BZ1018" s="16"/>
      <c r="CA1018" s="16"/>
      <c r="CB1018" s="16"/>
    </row>
    <row r="1019" spans="1:80" ht="16.149999999999999" customHeight="1" x14ac:dyDescent="0.25">
      <c r="A1019" s="16"/>
      <c r="B1019" s="16"/>
      <c r="C1019" s="16"/>
      <c r="D1019" s="16"/>
      <c r="E1019" s="16"/>
      <c r="F1019" s="16"/>
      <c r="G1019" s="17"/>
      <c r="H1019" s="17"/>
      <c r="I1019" s="17"/>
      <c r="J1019" s="17"/>
      <c r="K1019" s="17"/>
      <c r="L1019" s="18" t="s">
        <v>1435</v>
      </c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</row>
    <row r="1020" spans="1:80" ht="16.149999999999999" customHeight="1" x14ac:dyDescent="0.25">
      <c r="A1020" s="16"/>
      <c r="B1020" s="16"/>
      <c r="C1020" s="16"/>
      <c r="D1020" s="16"/>
      <c r="E1020" s="16"/>
      <c r="F1020" s="16"/>
      <c r="G1020" s="17"/>
      <c r="H1020" s="17"/>
      <c r="I1020" s="17"/>
      <c r="J1020" s="17"/>
      <c r="K1020" s="17"/>
      <c r="L1020" s="18" t="s">
        <v>1436</v>
      </c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6"/>
      <c r="AW1020" s="16"/>
      <c r="AX1020" s="16"/>
      <c r="AY1020" s="16"/>
      <c r="AZ1020" s="16"/>
      <c r="BA1020" s="16"/>
      <c r="BB1020" s="16"/>
      <c r="BC1020" s="16"/>
      <c r="BD1020" s="16"/>
      <c r="BE1020" s="16"/>
      <c r="BF1020" s="16"/>
      <c r="BG1020" s="16"/>
      <c r="BH1020" s="16"/>
      <c r="BI1020" s="16"/>
      <c r="BJ1020" s="16"/>
      <c r="BK1020" s="16"/>
      <c r="BL1020" s="16"/>
      <c r="BM1020" s="16"/>
      <c r="BN1020" s="16"/>
      <c r="BO1020" s="16"/>
      <c r="BP1020" s="16"/>
      <c r="BQ1020" s="16"/>
      <c r="BR1020" s="16"/>
      <c r="BS1020" s="16"/>
      <c r="BT1020" s="16"/>
      <c r="BU1020" s="16"/>
      <c r="BV1020" s="16"/>
      <c r="BW1020" s="16"/>
      <c r="BX1020" s="16"/>
      <c r="BY1020" s="16"/>
      <c r="BZ1020" s="16"/>
      <c r="CA1020" s="16"/>
      <c r="CB1020" s="16"/>
    </row>
    <row r="1021" spans="1:80" ht="16.149999999999999" customHeight="1" x14ac:dyDescent="0.25">
      <c r="A1021" s="16"/>
      <c r="B1021" s="16"/>
      <c r="C1021" s="16"/>
      <c r="D1021" s="16"/>
      <c r="E1021" s="16"/>
      <c r="F1021" s="16"/>
      <c r="G1021" s="17"/>
      <c r="H1021" s="17"/>
      <c r="I1021" s="17"/>
      <c r="J1021" s="17"/>
      <c r="K1021" s="17"/>
      <c r="L1021" s="18" t="s">
        <v>1437</v>
      </c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</row>
    <row r="1022" spans="1:80" ht="16.149999999999999" customHeight="1" x14ac:dyDescent="0.25">
      <c r="A1022" s="16"/>
      <c r="B1022" s="16"/>
      <c r="C1022" s="16"/>
      <c r="D1022" s="16"/>
      <c r="E1022" s="16"/>
      <c r="F1022" s="16"/>
      <c r="G1022" s="17"/>
      <c r="H1022" s="17"/>
      <c r="I1022" s="17"/>
      <c r="J1022" s="17"/>
      <c r="K1022" s="17"/>
      <c r="L1022" s="18" t="s">
        <v>1438</v>
      </c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6"/>
      <c r="AW1022" s="16"/>
      <c r="AX1022" s="16"/>
      <c r="AY1022" s="16"/>
      <c r="AZ1022" s="16"/>
      <c r="BA1022" s="16"/>
      <c r="BB1022" s="16"/>
      <c r="BC1022" s="16"/>
      <c r="BD1022" s="16"/>
      <c r="BE1022" s="16"/>
      <c r="BF1022" s="16"/>
      <c r="BG1022" s="16"/>
      <c r="BH1022" s="16"/>
      <c r="BI1022" s="16"/>
      <c r="BJ1022" s="16"/>
      <c r="BK1022" s="16"/>
      <c r="BL1022" s="16"/>
      <c r="BM1022" s="16"/>
      <c r="BN1022" s="16"/>
      <c r="BO1022" s="16"/>
      <c r="BP1022" s="16"/>
      <c r="BQ1022" s="16"/>
      <c r="BR1022" s="16"/>
      <c r="BS1022" s="16"/>
      <c r="BT1022" s="16"/>
      <c r="BU1022" s="16"/>
      <c r="BV1022" s="16"/>
      <c r="BW1022" s="16"/>
      <c r="BX1022" s="16"/>
      <c r="BY1022" s="16"/>
      <c r="BZ1022" s="16"/>
      <c r="CA1022" s="16"/>
      <c r="CB1022" s="16"/>
    </row>
    <row r="1023" spans="1:80" ht="16.149999999999999" customHeight="1" x14ac:dyDescent="0.25">
      <c r="A1023" s="16"/>
      <c r="B1023" s="16"/>
      <c r="C1023" s="16"/>
      <c r="D1023" s="16"/>
      <c r="E1023" s="16"/>
      <c r="F1023" s="16"/>
      <c r="G1023" s="17"/>
      <c r="H1023" s="17"/>
      <c r="I1023" s="17"/>
      <c r="J1023" s="17"/>
      <c r="K1023" s="17"/>
      <c r="L1023" s="18" t="s">
        <v>1439</v>
      </c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</row>
    <row r="1024" spans="1:80" ht="16.149999999999999" customHeight="1" x14ac:dyDescent="0.25">
      <c r="A1024" s="16"/>
      <c r="B1024" s="16"/>
      <c r="C1024" s="16"/>
      <c r="D1024" s="16"/>
      <c r="E1024" s="16"/>
      <c r="F1024" s="16"/>
      <c r="G1024" s="17"/>
      <c r="H1024" s="17"/>
      <c r="I1024" s="17"/>
      <c r="J1024" s="17"/>
      <c r="K1024" s="17"/>
      <c r="L1024" s="18" t="s">
        <v>1440</v>
      </c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6"/>
      <c r="AW1024" s="16"/>
      <c r="AX1024" s="16"/>
      <c r="AY1024" s="16"/>
      <c r="AZ1024" s="16"/>
      <c r="BA1024" s="16"/>
      <c r="BB1024" s="16"/>
      <c r="BC1024" s="16"/>
      <c r="BD1024" s="16"/>
      <c r="BE1024" s="16"/>
      <c r="BF1024" s="16"/>
      <c r="BG1024" s="16"/>
      <c r="BH1024" s="16"/>
      <c r="BI1024" s="16"/>
      <c r="BJ1024" s="16"/>
      <c r="BK1024" s="16"/>
      <c r="BL1024" s="16"/>
      <c r="BM1024" s="16"/>
      <c r="BN1024" s="16"/>
      <c r="BO1024" s="16"/>
      <c r="BP1024" s="16"/>
      <c r="BQ1024" s="16"/>
      <c r="BR1024" s="16"/>
      <c r="BS1024" s="16"/>
      <c r="BT1024" s="16"/>
      <c r="BU1024" s="16"/>
      <c r="BV1024" s="16"/>
      <c r="BW1024" s="16"/>
      <c r="BX1024" s="16"/>
      <c r="BY1024" s="16"/>
      <c r="BZ1024" s="16"/>
      <c r="CA1024" s="16"/>
      <c r="CB1024" s="16"/>
    </row>
    <row r="1025" spans="1:80" ht="16.149999999999999" customHeight="1" x14ac:dyDescent="0.25">
      <c r="A1025" s="16"/>
      <c r="B1025" s="16"/>
      <c r="C1025" s="16"/>
      <c r="D1025" s="16"/>
      <c r="E1025" s="16"/>
      <c r="F1025" s="16"/>
      <c r="G1025" s="17"/>
      <c r="H1025" s="17"/>
      <c r="I1025" s="17"/>
      <c r="J1025" s="17"/>
      <c r="K1025" s="17"/>
      <c r="L1025" s="18" t="s">
        <v>1441</v>
      </c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</row>
    <row r="1026" spans="1:80" ht="16.149999999999999" customHeight="1" x14ac:dyDescent="0.25">
      <c r="A1026" s="16"/>
      <c r="B1026" s="16"/>
      <c r="C1026" s="16"/>
      <c r="D1026" s="16"/>
      <c r="E1026" s="16"/>
      <c r="F1026" s="16"/>
      <c r="G1026" s="17"/>
      <c r="H1026" s="17"/>
      <c r="I1026" s="17"/>
      <c r="J1026" s="17"/>
      <c r="K1026" s="17"/>
      <c r="L1026" s="18" t="s">
        <v>1442</v>
      </c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6"/>
      <c r="AW1026" s="16"/>
      <c r="AX1026" s="16"/>
      <c r="AY1026" s="16"/>
      <c r="AZ1026" s="16"/>
      <c r="BA1026" s="16"/>
      <c r="BB1026" s="16"/>
      <c r="BC1026" s="16"/>
      <c r="BD1026" s="16"/>
      <c r="BE1026" s="16"/>
      <c r="BF1026" s="16"/>
      <c r="BG1026" s="16"/>
      <c r="BH1026" s="16"/>
      <c r="BI1026" s="16"/>
      <c r="BJ1026" s="16"/>
      <c r="BK1026" s="16"/>
      <c r="BL1026" s="16"/>
      <c r="BM1026" s="16"/>
      <c r="BN1026" s="16"/>
      <c r="BO1026" s="16"/>
      <c r="BP1026" s="16"/>
      <c r="BQ1026" s="16"/>
      <c r="BR1026" s="16"/>
      <c r="BS1026" s="16"/>
      <c r="BT1026" s="16"/>
      <c r="BU1026" s="16"/>
      <c r="BV1026" s="16"/>
      <c r="BW1026" s="16"/>
      <c r="BX1026" s="16"/>
      <c r="BY1026" s="16"/>
      <c r="BZ1026" s="16"/>
      <c r="CA1026" s="16"/>
      <c r="CB1026" s="16"/>
    </row>
    <row r="1027" spans="1:80" ht="16.149999999999999" customHeight="1" x14ac:dyDescent="0.25">
      <c r="A1027" s="16"/>
      <c r="B1027" s="16"/>
      <c r="C1027" s="16"/>
      <c r="D1027" s="16"/>
      <c r="E1027" s="16"/>
      <c r="F1027" s="16"/>
      <c r="G1027" s="17"/>
      <c r="H1027" s="17"/>
      <c r="I1027" s="17"/>
      <c r="J1027" s="17"/>
      <c r="K1027" s="17"/>
      <c r="L1027" s="18" t="s">
        <v>1443</v>
      </c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</row>
    <row r="1028" spans="1:80" ht="16.149999999999999" customHeight="1" x14ac:dyDescent="0.25">
      <c r="A1028" s="16"/>
      <c r="B1028" s="16"/>
      <c r="C1028" s="16"/>
      <c r="D1028" s="16"/>
      <c r="E1028" s="16"/>
      <c r="F1028" s="16"/>
      <c r="G1028" s="17"/>
      <c r="H1028" s="17"/>
      <c r="I1028" s="17"/>
      <c r="J1028" s="17"/>
      <c r="K1028" s="17"/>
      <c r="L1028" s="18" t="s">
        <v>1444</v>
      </c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6"/>
      <c r="AW1028" s="16"/>
      <c r="AX1028" s="16"/>
      <c r="AY1028" s="16"/>
      <c r="AZ1028" s="16"/>
      <c r="BA1028" s="16"/>
      <c r="BB1028" s="16"/>
      <c r="BC1028" s="16"/>
      <c r="BD1028" s="16"/>
      <c r="BE1028" s="16"/>
      <c r="BF1028" s="16"/>
      <c r="BG1028" s="16"/>
      <c r="BH1028" s="16"/>
      <c r="BI1028" s="16"/>
      <c r="BJ1028" s="16"/>
      <c r="BK1028" s="16"/>
      <c r="BL1028" s="16"/>
      <c r="BM1028" s="16"/>
      <c r="BN1028" s="16"/>
      <c r="BO1028" s="16"/>
      <c r="BP1028" s="16"/>
      <c r="BQ1028" s="16"/>
      <c r="BR1028" s="16"/>
      <c r="BS1028" s="16"/>
      <c r="BT1028" s="16"/>
      <c r="BU1028" s="16"/>
      <c r="BV1028" s="16"/>
      <c r="BW1028" s="16"/>
      <c r="BX1028" s="16"/>
      <c r="BY1028" s="16"/>
      <c r="BZ1028" s="16"/>
      <c r="CA1028" s="16"/>
      <c r="CB1028" s="16"/>
    </row>
    <row r="1029" spans="1:80" ht="16.149999999999999" customHeight="1" x14ac:dyDescent="0.25">
      <c r="A1029" s="16"/>
      <c r="B1029" s="16"/>
      <c r="C1029" s="16"/>
      <c r="D1029" s="16"/>
      <c r="E1029" s="16"/>
      <c r="F1029" s="16"/>
      <c r="G1029" s="17"/>
      <c r="H1029" s="17"/>
      <c r="I1029" s="17"/>
      <c r="J1029" s="17"/>
      <c r="K1029" s="17"/>
      <c r="L1029" s="18" t="s">
        <v>1445</v>
      </c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</row>
    <row r="1030" spans="1:80" ht="16.149999999999999" customHeight="1" x14ac:dyDescent="0.25">
      <c r="A1030" s="16"/>
      <c r="B1030" s="16"/>
      <c r="C1030" s="16"/>
      <c r="D1030" s="16"/>
      <c r="E1030" s="16"/>
      <c r="F1030" s="16"/>
      <c r="G1030" s="17"/>
      <c r="H1030" s="17"/>
      <c r="I1030" s="17"/>
      <c r="J1030" s="17"/>
      <c r="K1030" s="17"/>
      <c r="L1030" s="18" t="s">
        <v>1446</v>
      </c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6"/>
      <c r="AW1030" s="16"/>
      <c r="AX1030" s="16"/>
      <c r="AY1030" s="16"/>
      <c r="AZ1030" s="16"/>
      <c r="BA1030" s="16"/>
      <c r="BB1030" s="16"/>
      <c r="BC1030" s="16"/>
      <c r="BD1030" s="16"/>
      <c r="BE1030" s="16"/>
      <c r="BF1030" s="16"/>
      <c r="BG1030" s="16"/>
      <c r="BH1030" s="16"/>
      <c r="BI1030" s="16"/>
      <c r="BJ1030" s="16"/>
      <c r="BK1030" s="16"/>
      <c r="BL1030" s="16"/>
      <c r="BM1030" s="16"/>
      <c r="BN1030" s="16"/>
      <c r="BO1030" s="16"/>
      <c r="BP1030" s="16"/>
      <c r="BQ1030" s="16"/>
      <c r="BR1030" s="16"/>
      <c r="BS1030" s="16"/>
      <c r="BT1030" s="16"/>
      <c r="BU1030" s="16"/>
      <c r="BV1030" s="16"/>
      <c r="BW1030" s="16"/>
      <c r="BX1030" s="16"/>
      <c r="BY1030" s="16"/>
      <c r="BZ1030" s="16"/>
      <c r="CA1030" s="16"/>
      <c r="CB1030" s="16"/>
    </row>
    <row r="1031" spans="1:80" ht="16.149999999999999" customHeight="1" x14ac:dyDescent="0.25">
      <c r="A1031" s="16"/>
      <c r="B1031" s="16"/>
      <c r="C1031" s="16"/>
      <c r="D1031" s="16"/>
      <c r="E1031" s="16"/>
      <c r="F1031" s="16"/>
      <c r="G1031" s="17"/>
      <c r="H1031" s="17"/>
      <c r="I1031" s="17"/>
      <c r="J1031" s="17"/>
      <c r="K1031" s="17"/>
      <c r="L1031" s="18" t="s">
        <v>1447</v>
      </c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</row>
    <row r="1032" spans="1:80" ht="16.149999999999999" customHeight="1" x14ac:dyDescent="0.25">
      <c r="A1032" s="16"/>
      <c r="B1032" s="16"/>
      <c r="C1032" s="16"/>
      <c r="D1032" s="16"/>
      <c r="E1032" s="16"/>
      <c r="F1032" s="16"/>
      <c r="G1032" s="17"/>
      <c r="H1032" s="17"/>
      <c r="I1032" s="17"/>
      <c r="J1032" s="17"/>
      <c r="K1032" s="17"/>
      <c r="L1032" s="18" t="s">
        <v>1448</v>
      </c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6"/>
      <c r="AW1032" s="16"/>
      <c r="AX1032" s="16"/>
      <c r="AY1032" s="16"/>
      <c r="AZ1032" s="16"/>
      <c r="BA1032" s="16"/>
      <c r="BB1032" s="16"/>
      <c r="BC1032" s="16"/>
      <c r="BD1032" s="16"/>
      <c r="BE1032" s="16"/>
      <c r="BF1032" s="16"/>
      <c r="BG1032" s="16"/>
      <c r="BH1032" s="16"/>
      <c r="BI1032" s="16"/>
      <c r="BJ1032" s="16"/>
      <c r="BK1032" s="16"/>
      <c r="BL1032" s="16"/>
      <c r="BM1032" s="16"/>
      <c r="BN1032" s="16"/>
      <c r="BO1032" s="16"/>
      <c r="BP1032" s="16"/>
      <c r="BQ1032" s="16"/>
      <c r="BR1032" s="16"/>
      <c r="BS1032" s="16"/>
      <c r="BT1032" s="16"/>
      <c r="BU1032" s="16"/>
      <c r="BV1032" s="16"/>
      <c r="BW1032" s="16"/>
      <c r="BX1032" s="16"/>
      <c r="BY1032" s="16"/>
      <c r="BZ1032" s="16"/>
      <c r="CA1032" s="16"/>
      <c r="CB1032" s="16"/>
    </row>
    <row r="1033" spans="1:80" ht="16.149999999999999" customHeight="1" x14ac:dyDescent="0.25">
      <c r="A1033" s="16"/>
      <c r="B1033" s="16"/>
      <c r="C1033" s="16"/>
      <c r="D1033" s="16"/>
      <c r="E1033" s="16"/>
      <c r="F1033" s="16"/>
      <c r="G1033" s="17"/>
      <c r="H1033" s="17"/>
      <c r="I1033" s="17"/>
      <c r="J1033" s="17"/>
      <c r="K1033" s="17"/>
      <c r="L1033" s="18" t="s">
        <v>1449</v>
      </c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</row>
    <row r="1034" spans="1:80" ht="16.149999999999999" customHeight="1" x14ac:dyDescent="0.25">
      <c r="A1034" s="16"/>
      <c r="B1034" s="16"/>
      <c r="C1034" s="16"/>
      <c r="D1034" s="16"/>
      <c r="E1034" s="16"/>
      <c r="F1034" s="16"/>
      <c r="G1034" s="17"/>
      <c r="H1034" s="17"/>
      <c r="I1034" s="17"/>
      <c r="J1034" s="17"/>
      <c r="K1034" s="17"/>
      <c r="L1034" s="18" t="s">
        <v>1450</v>
      </c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6"/>
      <c r="AW1034" s="16"/>
      <c r="AX1034" s="16"/>
      <c r="AY1034" s="16"/>
      <c r="AZ1034" s="16"/>
      <c r="BA1034" s="16"/>
      <c r="BB1034" s="16"/>
      <c r="BC1034" s="16"/>
      <c r="BD1034" s="16"/>
      <c r="BE1034" s="16"/>
      <c r="BF1034" s="16"/>
      <c r="BG1034" s="16"/>
      <c r="BH1034" s="16"/>
      <c r="BI1034" s="16"/>
      <c r="BJ1034" s="16"/>
      <c r="BK1034" s="16"/>
      <c r="BL1034" s="16"/>
      <c r="BM1034" s="16"/>
      <c r="BN1034" s="16"/>
      <c r="BO1034" s="16"/>
      <c r="BP1034" s="16"/>
      <c r="BQ1034" s="16"/>
      <c r="BR1034" s="16"/>
      <c r="BS1034" s="16"/>
      <c r="BT1034" s="16"/>
      <c r="BU1034" s="16"/>
      <c r="BV1034" s="16"/>
      <c r="BW1034" s="16"/>
      <c r="BX1034" s="16"/>
      <c r="BY1034" s="16"/>
      <c r="BZ1034" s="16"/>
      <c r="CA1034" s="16"/>
      <c r="CB1034" s="16"/>
    </row>
    <row r="1035" spans="1:80" ht="16.149999999999999" customHeight="1" x14ac:dyDescent="0.25">
      <c r="A1035" s="16"/>
      <c r="B1035" s="16"/>
      <c r="C1035" s="16"/>
      <c r="D1035" s="16"/>
      <c r="E1035" s="16"/>
      <c r="F1035" s="16"/>
      <c r="G1035" s="17"/>
      <c r="H1035" s="17"/>
      <c r="I1035" s="17"/>
      <c r="J1035" s="17"/>
      <c r="K1035" s="17"/>
      <c r="L1035" s="18" t="s">
        <v>1451</v>
      </c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</row>
    <row r="1036" spans="1:80" ht="16.149999999999999" customHeight="1" x14ac:dyDescent="0.25">
      <c r="A1036" s="16"/>
      <c r="B1036" s="16"/>
      <c r="C1036" s="16"/>
      <c r="D1036" s="16"/>
      <c r="E1036" s="16"/>
      <c r="F1036" s="16"/>
      <c r="G1036" s="17"/>
      <c r="H1036" s="17"/>
      <c r="I1036" s="17"/>
      <c r="J1036" s="17"/>
      <c r="K1036" s="17"/>
      <c r="L1036" s="18" t="s">
        <v>1452</v>
      </c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6"/>
      <c r="AW1036" s="16"/>
      <c r="AX1036" s="16"/>
      <c r="AY1036" s="16"/>
      <c r="AZ1036" s="16"/>
      <c r="BA1036" s="16"/>
      <c r="BB1036" s="16"/>
      <c r="BC1036" s="16"/>
      <c r="BD1036" s="16"/>
      <c r="BE1036" s="16"/>
      <c r="BF1036" s="16"/>
      <c r="BG1036" s="16"/>
      <c r="BH1036" s="16"/>
      <c r="BI1036" s="16"/>
      <c r="BJ1036" s="16"/>
      <c r="BK1036" s="16"/>
      <c r="BL1036" s="16"/>
      <c r="BM1036" s="16"/>
      <c r="BN1036" s="16"/>
      <c r="BO1036" s="16"/>
      <c r="BP1036" s="16"/>
      <c r="BQ1036" s="16"/>
      <c r="BR1036" s="16"/>
      <c r="BS1036" s="16"/>
      <c r="BT1036" s="16"/>
      <c r="BU1036" s="16"/>
      <c r="BV1036" s="16"/>
      <c r="BW1036" s="16"/>
      <c r="BX1036" s="16"/>
      <c r="BY1036" s="16"/>
      <c r="BZ1036" s="16"/>
      <c r="CA1036" s="16"/>
      <c r="CB1036" s="16"/>
    </row>
    <row r="1037" spans="1:80" ht="16.149999999999999" customHeight="1" x14ac:dyDescent="0.25">
      <c r="A1037" s="16"/>
      <c r="B1037" s="16"/>
      <c r="C1037" s="16"/>
      <c r="D1037" s="16"/>
      <c r="E1037" s="16"/>
      <c r="F1037" s="16"/>
      <c r="G1037" s="17"/>
      <c r="H1037" s="17"/>
      <c r="I1037" s="17"/>
      <c r="J1037" s="17"/>
      <c r="K1037" s="17"/>
      <c r="L1037" s="18" t="s">
        <v>1453</v>
      </c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</row>
    <row r="1038" spans="1:80" ht="16.149999999999999" customHeight="1" x14ac:dyDescent="0.25">
      <c r="A1038" s="16"/>
      <c r="B1038" s="16"/>
      <c r="C1038" s="16"/>
      <c r="D1038" s="16"/>
      <c r="E1038" s="16"/>
      <c r="F1038" s="16"/>
      <c r="G1038" s="17"/>
      <c r="H1038" s="17"/>
      <c r="I1038" s="17"/>
      <c r="J1038" s="17"/>
      <c r="K1038" s="17"/>
      <c r="L1038" s="18" t="s">
        <v>1454</v>
      </c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6"/>
      <c r="AW1038" s="16"/>
      <c r="AX1038" s="16"/>
      <c r="AY1038" s="16"/>
      <c r="AZ1038" s="16"/>
      <c r="BA1038" s="16"/>
      <c r="BB1038" s="16"/>
      <c r="BC1038" s="16"/>
      <c r="BD1038" s="16"/>
      <c r="BE1038" s="16"/>
      <c r="BF1038" s="16"/>
      <c r="BG1038" s="16"/>
      <c r="BH1038" s="16"/>
      <c r="BI1038" s="16"/>
      <c r="BJ1038" s="16"/>
      <c r="BK1038" s="16"/>
      <c r="BL1038" s="16"/>
      <c r="BM1038" s="16"/>
      <c r="BN1038" s="16"/>
      <c r="BO1038" s="16"/>
      <c r="BP1038" s="16"/>
      <c r="BQ1038" s="16"/>
      <c r="BR1038" s="16"/>
      <c r="BS1038" s="16"/>
      <c r="BT1038" s="16"/>
      <c r="BU1038" s="16"/>
      <c r="BV1038" s="16"/>
      <c r="BW1038" s="16"/>
      <c r="BX1038" s="16"/>
      <c r="BY1038" s="16"/>
      <c r="BZ1038" s="16"/>
      <c r="CA1038" s="16"/>
      <c r="CB1038" s="16"/>
    </row>
    <row r="1039" spans="1:80" ht="16.149999999999999" customHeight="1" x14ac:dyDescent="0.25">
      <c r="A1039" s="16"/>
      <c r="B1039" s="16"/>
      <c r="C1039" s="16"/>
      <c r="D1039" s="16"/>
      <c r="E1039" s="16"/>
      <c r="F1039" s="16"/>
      <c r="G1039" s="17"/>
      <c r="H1039" s="17"/>
      <c r="I1039" s="17"/>
      <c r="J1039" s="17"/>
      <c r="K1039" s="17"/>
      <c r="L1039" s="18" t="s">
        <v>1455</v>
      </c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</row>
    <row r="1040" spans="1:80" ht="16.149999999999999" customHeight="1" x14ac:dyDescent="0.25">
      <c r="A1040" s="16"/>
      <c r="B1040" s="16"/>
      <c r="C1040" s="16"/>
      <c r="D1040" s="16"/>
      <c r="E1040" s="16"/>
      <c r="F1040" s="16"/>
      <c r="G1040" s="17"/>
      <c r="H1040" s="17"/>
      <c r="I1040" s="17"/>
      <c r="J1040" s="17"/>
      <c r="K1040" s="17"/>
      <c r="L1040" s="18" t="s">
        <v>1456</v>
      </c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6"/>
      <c r="AW1040" s="16"/>
      <c r="AX1040" s="16"/>
      <c r="AY1040" s="16"/>
      <c r="AZ1040" s="16"/>
      <c r="BA1040" s="16"/>
      <c r="BB1040" s="16"/>
      <c r="BC1040" s="16"/>
      <c r="BD1040" s="16"/>
      <c r="BE1040" s="16"/>
      <c r="BF1040" s="16"/>
      <c r="BG1040" s="16"/>
      <c r="BH1040" s="16"/>
      <c r="BI1040" s="16"/>
      <c r="BJ1040" s="16"/>
      <c r="BK1040" s="16"/>
      <c r="BL1040" s="16"/>
      <c r="BM1040" s="16"/>
      <c r="BN1040" s="16"/>
      <c r="BO1040" s="16"/>
      <c r="BP1040" s="16"/>
      <c r="BQ1040" s="16"/>
      <c r="BR1040" s="16"/>
      <c r="BS1040" s="16"/>
      <c r="BT1040" s="16"/>
      <c r="BU1040" s="16"/>
      <c r="BV1040" s="16"/>
      <c r="BW1040" s="16"/>
      <c r="BX1040" s="16"/>
      <c r="BY1040" s="16"/>
      <c r="BZ1040" s="16"/>
      <c r="CA1040" s="16"/>
      <c r="CB1040" s="16"/>
    </row>
    <row r="1041" spans="1:80" ht="16.149999999999999" customHeight="1" x14ac:dyDescent="0.25">
      <c r="A1041" s="16"/>
      <c r="B1041" s="16"/>
      <c r="C1041" s="16"/>
      <c r="D1041" s="16"/>
      <c r="E1041" s="16"/>
      <c r="F1041" s="16"/>
      <c r="G1041" s="17"/>
      <c r="H1041" s="17"/>
      <c r="I1041" s="17"/>
      <c r="J1041" s="17"/>
      <c r="K1041" s="17"/>
      <c r="L1041" s="18" t="s">
        <v>1457</v>
      </c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</row>
    <row r="1042" spans="1:80" ht="16.149999999999999" customHeight="1" x14ac:dyDescent="0.25">
      <c r="A1042" s="16"/>
      <c r="B1042" s="16"/>
      <c r="C1042" s="16"/>
      <c r="D1042" s="16"/>
      <c r="E1042" s="16"/>
      <c r="F1042" s="16"/>
      <c r="G1042" s="17"/>
      <c r="H1042" s="17"/>
      <c r="I1042" s="17"/>
      <c r="J1042" s="17"/>
      <c r="K1042" s="17"/>
      <c r="L1042" s="18" t="s">
        <v>1458</v>
      </c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6"/>
      <c r="AW1042" s="16"/>
      <c r="AX1042" s="16"/>
      <c r="AY1042" s="16"/>
      <c r="AZ1042" s="16"/>
      <c r="BA1042" s="16"/>
      <c r="BB1042" s="16"/>
      <c r="BC1042" s="16"/>
      <c r="BD1042" s="16"/>
      <c r="BE1042" s="16"/>
      <c r="BF1042" s="16"/>
      <c r="BG1042" s="16"/>
      <c r="BH1042" s="16"/>
      <c r="BI1042" s="16"/>
      <c r="BJ1042" s="16"/>
      <c r="BK1042" s="16"/>
      <c r="BL1042" s="16"/>
      <c r="BM1042" s="16"/>
      <c r="BN1042" s="16"/>
      <c r="BO1042" s="16"/>
      <c r="BP1042" s="16"/>
      <c r="BQ1042" s="16"/>
      <c r="BR1042" s="16"/>
      <c r="BS1042" s="16"/>
      <c r="BT1042" s="16"/>
      <c r="BU1042" s="16"/>
      <c r="BV1042" s="16"/>
      <c r="BW1042" s="16"/>
      <c r="BX1042" s="16"/>
      <c r="BY1042" s="16"/>
      <c r="BZ1042" s="16"/>
      <c r="CA1042" s="16"/>
      <c r="CB1042" s="16"/>
    </row>
    <row r="1043" spans="1:80" ht="16.149999999999999" customHeight="1" x14ac:dyDescent="0.25">
      <c r="A1043" s="16"/>
      <c r="B1043" s="16"/>
      <c r="C1043" s="16"/>
      <c r="D1043" s="16"/>
      <c r="E1043" s="16"/>
      <c r="F1043" s="16"/>
      <c r="G1043" s="17"/>
      <c r="H1043" s="17"/>
      <c r="I1043" s="17"/>
      <c r="J1043" s="17"/>
      <c r="K1043" s="17"/>
      <c r="L1043" s="18" t="s">
        <v>1459</v>
      </c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</row>
    <row r="1044" spans="1:80" ht="16.149999999999999" customHeight="1" x14ac:dyDescent="0.25">
      <c r="A1044" s="16"/>
      <c r="B1044" s="16"/>
      <c r="C1044" s="16"/>
      <c r="D1044" s="16"/>
      <c r="E1044" s="16"/>
      <c r="F1044" s="16"/>
      <c r="G1044" s="17"/>
      <c r="H1044" s="17"/>
      <c r="I1044" s="17"/>
      <c r="J1044" s="17"/>
      <c r="K1044" s="17"/>
      <c r="L1044" s="18" t="s">
        <v>1460</v>
      </c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6"/>
      <c r="AW1044" s="16"/>
      <c r="AX1044" s="16"/>
      <c r="AY1044" s="16"/>
      <c r="AZ1044" s="16"/>
      <c r="BA1044" s="16"/>
      <c r="BB1044" s="16"/>
      <c r="BC1044" s="16"/>
      <c r="BD1044" s="16"/>
      <c r="BE1044" s="16"/>
      <c r="BF1044" s="16"/>
      <c r="BG1044" s="16"/>
      <c r="BH1044" s="16"/>
      <c r="BI1044" s="16"/>
      <c r="BJ1044" s="16"/>
      <c r="BK1044" s="16"/>
      <c r="BL1044" s="16"/>
      <c r="BM1044" s="16"/>
      <c r="BN1044" s="16"/>
      <c r="BO1044" s="16"/>
      <c r="BP1044" s="16"/>
      <c r="BQ1044" s="16"/>
      <c r="BR1044" s="16"/>
      <c r="BS1044" s="16"/>
      <c r="BT1044" s="16"/>
      <c r="BU1044" s="16"/>
      <c r="BV1044" s="16"/>
      <c r="BW1044" s="16"/>
      <c r="BX1044" s="16"/>
      <c r="BY1044" s="16"/>
      <c r="BZ1044" s="16"/>
      <c r="CA1044" s="16"/>
      <c r="CB1044" s="16"/>
    </row>
    <row r="1045" spans="1:80" ht="16.149999999999999" customHeight="1" x14ac:dyDescent="0.25">
      <c r="A1045" s="16"/>
      <c r="B1045" s="16"/>
      <c r="C1045" s="16"/>
      <c r="D1045" s="16"/>
      <c r="E1045" s="16"/>
      <c r="F1045" s="16"/>
      <c r="G1045" s="17"/>
      <c r="H1045" s="17"/>
      <c r="I1045" s="17"/>
      <c r="J1045" s="17"/>
      <c r="K1045" s="17"/>
      <c r="L1045" s="18" t="s">
        <v>1461</v>
      </c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</row>
    <row r="1046" spans="1:80" ht="16.149999999999999" customHeight="1" x14ac:dyDescent="0.25">
      <c r="A1046" s="16"/>
      <c r="B1046" s="16"/>
      <c r="C1046" s="16"/>
      <c r="D1046" s="16"/>
      <c r="E1046" s="16"/>
      <c r="F1046" s="16"/>
      <c r="G1046" s="17"/>
      <c r="H1046" s="17"/>
      <c r="I1046" s="17"/>
      <c r="J1046" s="17"/>
      <c r="K1046" s="17"/>
      <c r="L1046" s="18" t="s">
        <v>1462</v>
      </c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6"/>
      <c r="AW1046" s="16"/>
      <c r="AX1046" s="16"/>
      <c r="AY1046" s="16"/>
      <c r="AZ1046" s="16"/>
      <c r="BA1046" s="16"/>
      <c r="BB1046" s="16"/>
      <c r="BC1046" s="16"/>
      <c r="BD1046" s="16"/>
      <c r="BE1046" s="16"/>
      <c r="BF1046" s="16"/>
      <c r="BG1046" s="16"/>
      <c r="BH1046" s="16"/>
      <c r="BI1046" s="16"/>
      <c r="BJ1046" s="16"/>
      <c r="BK1046" s="16"/>
      <c r="BL1046" s="16"/>
      <c r="BM1046" s="16"/>
      <c r="BN1046" s="16"/>
      <c r="BO1046" s="16"/>
      <c r="BP1046" s="16"/>
      <c r="BQ1046" s="16"/>
      <c r="BR1046" s="16"/>
      <c r="BS1046" s="16"/>
      <c r="BT1046" s="16"/>
      <c r="BU1046" s="16"/>
      <c r="BV1046" s="16"/>
      <c r="BW1046" s="16"/>
      <c r="BX1046" s="16"/>
      <c r="BY1046" s="16"/>
      <c r="BZ1046" s="16"/>
      <c r="CA1046" s="16"/>
      <c r="CB1046" s="16"/>
    </row>
    <row r="1047" spans="1:80" ht="16.149999999999999" customHeight="1" x14ac:dyDescent="0.25">
      <c r="A1047" s="16"/>
      <c r="B1047" s="16"/>
      <c r="C1047" s="16"/>
      <c r="D1047" s="16"/>
      <c r="E1047" s="16"/>
      <c r="F1047" s="16"/>
      <c r="G1047" s="17"/>
      <c r="H1047" s="17"/>
      <c r="I1047" s="17"/>
      <c r="J1047" s="17"/>
      <c r="K1047" s="17"/>
      <c r="L1047" s="18" t="s">
        <v>1463</v>
      </c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</row>
    <row r="1048" spans="1:80" ht="16.149999999999999" customHeight="1" x14ac:dyDescent="0.25">
      <c r="A1048" s="16"/>
      <c r="B1048" s="16"/>
      <c r="C1048" s="16"/>
      <c r="D1048" s="16"/>
      <c r="E1048" s="16"/>
      <c r="F1048" s="16"/>
      <c r="G1048" s="17"/>
      <c r="H1048" s="17"/>
      <c r="I1048" s="17"/>
      <c r="J1048" s="17"/>
      <c r="K1048" s="17"/>
      <c r="L1048" s="18" t="s">
        <v>1464</v>
      </c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6"/>
      <c r="AW1048" s="16"/>
      <c r="AX1048" s="16"/>
      <c r="AY1048" s="16"/>
      <c r="AZ1048" s="16"/>
      <c r="BA1048" s="16"/>
      <c r="BB1048" s="16"/>
      <c r="BC1048" s="16"/>
      <c r="BD1048" s="16"/>
      <c r="BE1048" s="16"/>
      <c r="BF1048" s="16"/>
      <c r="BG1048" s="16"/>
      <c r="BH1048" s="16"/>
      <c r="BI1048" s="16"/>
      <c r="BJ1048" s="16"/>
      <c r="BK1048" s="16"/>
      <c r="BL1048" s="16"/>
      <c r="BM1048" s="16"/>
      <c r="BN1048" s="16"/>
      <c r="BO1048" s="16"/>
      <c r="BP1048" s="16"/>
      <c r="BQ1048" s="16"/>
      <c r="BR1048" s="16"/>
      <c r="BS1048" s="16"/>
      <c r="BT1048" s="16"/>
      <c r="BU1048" s="16"/>
      <c r="BV1048" s="16"/>
      <c r="BW1048" s="16"/>
      <c r="BX1048" s="16"/>
      <c r="BY1048" s="16"/>
      <c r="BZ1048" s="16"/>
      <c r="CA1048" s="16"/>
      <c r="CB1048" s="16"/>
    </row>
    <row r="1049" spans="1:80" ht="16.149999999999999" customHeight="1" x14ac:dyDescent="0.25">
      <c r="A1049" s="16"/>
      <c r="B1049" s="16"/>
      <c r="C1049" s="16"/>
      <c r="D1049" s="16"/>
      <c r="E1049" s="16"/>
      <c r="F1049" s="16"/>
      <c r="G1049" s="17"/>
      <c r="H1049" s="17"/>
      <c r="I1049" s="17"/>
      <c r="J1049" s="17"/>
      <c r="K1049" s="17"/>
      <c r="L1049" s="18" t="s">
        <v>1465</v>
      </c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</row>
    <row r="1050" spans="1:80" ht="16.149999999999999" customHeight="1" x14ac:dyDescent="0.25">
      <c r="A1050" s="16"/>
      <c r="B1050" s="16"/>
      <c r="C1050" s="16"/>
      <c r="D1050" s="16"/>
      <c r="E1050" s="16"/>
      <c r="F1050" s="16"/>
      <c r="G1050" s="17"/>
      <c r="H1050" s="17"/>
      <c r="I1050" s="17"/>
      <c r="J1050" s="17"/>
      <c r="K1050" s="17"/>
      <c r="L1050" s="18" t="s">
        <v>1466</v>
      </c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6"/>
      <c r="AW1050" s="16"/>
      <c r="AX1050" s="16"/>
      <c r="AY1050" s="16"/>
      <c r="AZ1050" s="16"/>
      <c r="BA1050" s="16"/>
      <c r="BB1050" s="16"/>
      <c r="BC1050" s="16"/>
      <c r="BD1050" s="16"/>
      <c r="BE1050" s="16"/>
      <c r="BF1050" s="16"/>
      <c r="BG1050" s="16"/>
      <c r="BH1050" s="16"/>
      <c r="BI1050" s="16"/>
      <c r="BJ1050" s="16"/>
      <c r="BK1050" s="16"/>
      <c r="BL1050" s="16"/>
      <c r="BM1050" s="16"/>
      <c r="BN1050" s="16"/>
      <c r="BO1050" s="16"/>
      <c r="BP1050" s="16"/>
      <c r="BQ1050" s="16"/>
      <c r="BR1050" s="16"/>
      <c r="BS1050" s="16"/>
      <c r="BT1050" s="16"/>
      <c r="BU1050" s="16"/>
      <c r="BV1050" s="16"/>
      <c r="BW1050" s="16"/>
      <c r="BX1050" s="16"/>
      <c r="BY1050" s="16"/>
      <c r="BZ1050" s="16"/>
      <c r="CA1050" s="16"/>
      <c r="CB1050" s="16"/>
    </row>
    <row r="1051" spans="1:80" ht="16.149999999999999" customHeight="1" x14ac:dyDescent="0.25">
      <c r="A1051" s="16"/>
      <c r="B1051" s="16"/>
      <c r="C1051" s="16"/>
      <c r="D1051" s="16"/>
      <c r="E1051" s="16"/>
      <c r="F1051" s="16"/>
      <c r="G1051" s="17"/>
      <c r="H1051" s="17"/>
      <c r="I1051" s="17"/>
      <c r="J1051" s="17"/>
      <c r="K1051" s="17"/>
      <c r="L1051" s="18" t="s">
        <v>1467</v>
      </c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</row>
    <row r="1052" spans="1:80" ht="16.149999999999999" customHeight="1" x14ac:dyDescent="0.25">
      <c r="A1052" s="16"/>
      <c r="B1052" s="16"/>
      <c r="C1052" s="16"/>
      <c r="D1052" s="16"/>
      <c r="E1052" s="16"/>
      <c r="F1052" s="16"/>
      <c r="G1052" s="17"/>
      <c r="H1052" s="17"/>
      <c r="I1052" s="17"/>
      <c r="J1052" s="17"/>
      <c r="K1052" s="17"/>
      <c r="L1052" s="18" t="s">
        <v>1468</v>
      </c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6"/>
      <c r="AW1052" s="16"/>
      <c r="AX1052" s="16"/>
      <c r="AY1052" s="16"/>
      <c r="AZ1052" s="16"/>
      <c r="BA1052" s="16"/>
      <c r="BB1052" s="16"/>
      <c r="BC1052" s="16"/>
      <c r="BD1052" s="16"/>
      <c r="BE1052" s="16"/>
      <c r="BF1052" s="16"/>
      <c r="BG1052" s="16"/>
      <c r="BH1052" s="16"/>
      <c r="BI1052" s="16"/>
      <c r="BJ1052" s="16"/>
      <c r="BK1052" s="16"/>
      <c r="BL1052" s="16"/>
      <c r="BM1052" s="16"/>
      <c r="BN1052" s="16"/>
      <c r="BO1052" s="16"/>
      <c r="BP1052" s="16"/>
      <c r="BQ1052" s="16"/>
      <c r="BR1052" s="16"/>
      <c r="BS1052" s="16"/>
      <c r="BT1052" s="16"/>
      <c r="BU1052" s="16"/>
      <c r="BV1052" s="16"/>
      <c r="BW1052" s="16"/>
      <c r="BX1052" s="16"/>
      <c r="BY1052" s="16"/>
      <c r="BZ1052" s="16"/>
      <c r="CA1052" s="16"/>
      <c r="CB1052" s="16"/>
    </row>
    <row r="1053" spans="1:80" ht="16.149999999999999" customHeight="1" x14ac:dyDescent="0.25">
      <c r="A1053" s="16"/>
      <c r="B1053" s="16"/>
      <c r="C1053" s="16"/>
      <c r="D1053" s="16"/>
      <c r="E1053" s="16"/>
      <c r="F1053" s="16"/>
      <c r="G1053" s="17"/>
      <c r="H1053" s="17"/>
      <c r="I1053" s="17"/>
      <c r="J1053" s="17"/>
      <c r="K1053" s="17"/>
      <c r="L1053" s="18" t="s">
        <v>1469</v>
      </c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</row>
    <row r="1054" spans="1:80" ht="16.149999999999999" customHeight="1" x14ac:dyDescent="0.25">
      <c r="A1054" s="16"/>
      <c r="B1054" s="16"/>
      <c r="C1054" s="16"/>
      <c r="D1054" s="16"/>
      <c r="E1054" s="16"/>
      <c r="F1054" s="16"/>
      <c r="G1054" s="17"/>
      <c r="H1054" s="17"/>
      <c r="I1054" s="17"/>
      <c r="J1054" s="17"/>
      <c r="K1054" s="17"/>
      <c r="L1054" s="18" t="s">
        <v>1470</v>
      </c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6"/>
      <c r="AW1054" s="16"/>
      <c r="AX1054" s="16"/>
      <c r="AY1054" s="16"/>
      <c r="AZ1054" s="16"/>
      <c r="BA1054" s="16"/>
      <c r="BB1054" s="16"/>
      <c r="BC1054" s="16"/>
      <c r="BD1054" s="16"/>
      <c r="BE1054" s="16"/>
      <c r="BF1054" s="16"/>
      <c r="BG1054" s="16"/>
      <c r="BH1054" s="16"/>
      <c r="BI1054" s="16"/>
      <c r="BJ1054" s="16"/>
      <c r="BK1054" s="16"/>
      <c r="BL1054" s="16"/>
      <c r="BM1054" s="16"/>
      <c r="BN1054" s="16"/>
      <c r="BO1054" s="16"/>
      <c r="BP1054" s="16"/>
      <c r="BQ1054" s="16"/>
      <c r="BR1054" s="16"/>
      <c r="BS1054" s="16"/>
      <c r="BT1054" s="16"/>
      <c r="BU1054" s="16"/>
      <c r="BV1054" s="16"/>
      <c r="BW1054" s="16"/>
      <c r="BX1054" s="16"/>
      <c r="BY1054" s="16"/>
      <c r="BZ1054" s="16"/>
      <c r="CA1054" s="16"/>
      <c r="CB1054" s="16"/>
    </row>
    <row r="1055" spans="1:80" ht="16.149999999999999" customHeight="1" x14ac:dyDescent="0.25">
      <c r="A1055" s="16"/>
      <c r="B1055" s="16"/>
      <c r="C1055" s="16"/>
      <c r="D1055" s="16"/>
      <c r="E1055" s="16"/>
      <c r="F1055" s="16"/>
      <c r="G1055" s="17"/>
      <c r="H1055" s="17"/>
      <c r="I1055" s="17"/>
      <c r="J1055" s="17"/>
      <c r="K1055" s="17"/>
      <c r="L1055" s="18" t="s">
        <v>1471</v>
      </c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</row>
    <row r="1056" spans="1:80" ht="16.149999999999999" customHeight="1" x14ac:dyDescent="0.25">
      <c r="A1056" s="16"/>
      <c r="B1056" s="16"/>
      <c r="C1056" s="16"/>
      <c r="D1056" s="16"/>
      <c r="E1056" s="16"/>
      <c r="F1056" s="16"/>
      <c r="G1056" s="17"/>
      <c r="H1056" s="17"/>
      <c r="I1056" s="17"/>
      <c r="J1056" s="17"/>
      <c r="K1056" s="17"/>
      <c r="L1056" s="18" t="s">
        <v>1472</v>
      </c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6"/>
      <c r="AW1056" s="16"/>
      <c r="AX1056" s="16"/>
      <c r="AY1056" s="16"/>
      <c r="AZ1056" s="16"/>
      <c r="BA1056" s="16"/>
      <c r="BB1056" s="16"/>
      <c r="BC1056" s="16"/>
      <c r="BD1056" s="16"/>
      <c r="BE1056" s="16"/>
      <c r="BF1056" s="16"/>
      <c r="BG1056" s="16"/>
      <c r="BH1056" s="16"/>
      <c r="BI1056" s="16"/>
      <c r="BJ1056" s="16"/>
      <c r="BK1056" s="16"/>
      <c r="BL1056" s="16"/>
      <c r="BM1056" s="16"/>
      <c r="BN1056" s="16"/>
      <c r="BO1056" s="16"/>
      <c r="BP1056" s="16"/>
      <c r="BQ1056" s="16"/>
      <c r="BR1056" s="16"/>
      <c r="BS1056" s="16"/>
      <c r="BT1056" s="16"/>
      <c r="BU1056" s="16"/>
      <c r="BV1056" s="16"/>
      <c r="BW1056" s="16"/>
      <c r="BX1056" s="16"/>
      <c r="BY1056" s="16"/>
      <c r="BZ1056" s="16"/>
      <c r="CA1056" s="16"/>
      <c r="CB1056" s="16"/>
    </row>
    <row r="1057" spans="1:80" ht="16.149999999999999" customHeight="1" x14ac:dyDescent="0.25">
      <c r="A1057" s="16"/>
      <c r="B1057" s="16"/>
      <c r="C1057" s="16"/>
      <c r="D1057" s="16"/>
      <c r="E1057" s="16"/>
      <c r="F1057" s="16"/>
      <c r="G1057" s="17"/>
      <c r="H1057" s="17"/>
      <c r="I1057" s="17"/>
      <c r="J1057" s="17"/>
      <c r="K1057" s="17"/>
      <c r="L1057" s="18" t="s">
        <v>1473</v>
      </c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</row>
    <row r="1058" spans="1:80" ht="16.149999999999999" customHeight="1" x14ac:dyDescent="0.25">
      <c r="A1058" s="16"/>
      <c r="B1058" s="16"/>
      <c r="C1058" s="16"/>
      <c r="D1058" s="16"/>
      <c r="E1058" s="16"/>
      <c r="F1058" s="16"/>
      <c r="G1058" s="17"/>
      <c r="H1058" s="17"/>
      <c r="I1058" s="17"/>
      <c r="J1058" s="17"/>
      <c r="K1058" s="17"/>
      <c r="L1058" s="18" t="s">
        <v>1474</v>
      </c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6"/>
      <c r="AW1058" s="16"/>
      <c r="AX1058" s="16"/>
      <c r="AY1058" s="16"/>
      <c r="AZ1058" s="16"/>
      <c r="BA1058" s="16"/>
      <c r="BB1058" s="16"/>
      <c r="BC1058" s="16"/>
      <c r="BD1058" s="16"/>
      <c r="BE1058" s="16"/>
      <c r="BF1058" s="16"/>
      <c r="BG1058" s="16"/>
      <c r="BH1058" s="16"/>
      <c r="BI1058" s="16"/>
      <c r="BJ1058" s="16"/>
      <c r="BK1058" s="16"/>
      <c r="BL1058" s="16"/>
      <c r="BM1058" s="16"/>
      <c r="BN1058" s="16"/>
      <c r="BO1058" s="16"/>
      <c r="BP1058" s="16"/>
      <c r="BQ1058" s="16"/>
      <c r="BR1058" s="16"/>
      <c r="BS1058" s="16"/>
      <c r="BT1058" s="16"/>
      <c r="BU1058" s="16"/>
      <c r="BV1058" s="16"/>
      <c r="BW1058" s="16"/>
      <c r="BX1058" s="16"/>
      <c r="BY1058" s="16"/>
      <c r="BZ1058" s="16"/>
      <c r="CA1058" s="16"/>
      <c r="CB1058" s="16"/>
    </row>
    <row r="1059" spans="1:80" ht="16.149999999999999" customHeight="1" x14ac:dyDescent="0.25">
      <c r="A1059" s="16"/>
      <c r="B1059" s="16"/>
      <c r="C1059" s="16"/>
      <c r="D1059" s="16"/>
      <c r="E1059" s="16"/>
      <c r="F1059" s="16"/>
      <c r="G1059" s="17"/>
      <c r="H1059" s="17"/>
      <c r="I1059" s="17"/>
      <c r="J1059" s="17"/>
      <c r="K1059" s="17"/>
      <c r="L1059" s="18" t="s">
        <v>1475</v>
      </c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</row>
    <row r="1060" spans="1:80" ht="16.149999999999999" customHeight="1" x14ac:dyDescent="0.25">
      <c r="A1060" s="16"/>
      <c r="B1060" s="16"/>
      <c r="C1060" s="16"/>
      <c r="D1060" s="16"/>
      <c r="E1060" s="16"/>
      <c r="F1060" s="16"/>
      <c r="G1060" s="17"/>
      <c r="H1060" s="17"/>
      <c r="I1060" s="17"/>
      <c r="J1060" s="17"/>
      <c r="K1060" s="17"/>
      <c r="L1060" s="18" t="s">
        <v>1476</v>
      </c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6"/>
      <c r="AW1060" s="16"/>
      <c r="AX1060" s="16"/>
      <c r="AY1060" s="16"/>
      <c r="AZ1060" s="16"/>
      <c r="BA1060" s="16"/>
      <c r="BB1060" s="16"/>
      <c r="BC1060" s="16"/>
      <c r="BD1060" s="16"/>
      <c r="BE1060" s="16"/>
      <c r="BF1060" s="16"/>
      <c r="BG1060" s="16"/>
      <c r="BH1060" s="16"/>
      <c r="BI1060" s="16"/>
      <c r="BJ1060" s="16"/>
      <c r="BK1060" s="16"/>
      <c r="BL1060" s="16"/>
      <c r="BM1060" s="16"/>
      <c r="BN1060" s="16"/>
      <c r="BO1060" s="16"/>
      <c r="BP1060" s="16"/>
      <c r="BQ1060" s="16"/>
      <c r="BR1060" s="16"/>
      <c r="BS1060" s="16"/>
      <c r="BT1060" s="16"/>
      <c r="BU1060" s="16"/>
      <c r="BV1060" s="16"/>
      <c r="BW1060" s="16"/>
      <c r="BX1060" s="16"/>
      <c r="BY1060" s="16"/>
      <c r="BZ1060" s="16"/>
      <c r="CA1060" s="16"/>
      <c r="CB1060" s="16"/>
    </row>
    <row r="1061" spans="1:80" ht="16.149999999999999" customHeight="1" x14ac:dyDescent="0.25">
      <c r="A1061" s="16"/>
      <c r="B1061" s="16"/>
      <c r="C1061" s="16"/>
      <c r="D1061" s="16"/>
      <c r="E1061" s="16"/>
      <c r="F1061" s="16"/>
      <c r="G1061" s="17"/>
      <c r="H1061" s="17"/>
      <c r="I1061" s="17"/>
      <c r="J1061" s="17"/>
      <c r="K1061" s="17"/>
      <c r="L1061" s="18" t="s">
        <v>1477</v>
      </c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</row>
    <row r="1062" spans="1:80" ht="16.149999999999999" customHeight="1" x14ac:dyDescent="0.25">
      <c r="A1062" s="16"/>
      <c r="B1062" s="16"/>
      <c r="C1062" s="16"/>
      <c r="D1062" s="16"/>
      <c r="E1062" s="16"/>
      <c r="F1062" s="16"/>
      <c r="G1062" s="17"/>
      <c r="H1062" s="17"/>
      <c r="I1062" s="17"/>
      <c r="J1062" s="17"/>
      <c r="K1062" s="17"/>
      <c r="L1062" s="18" t="s">
        <v>1478</v>
      </c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6"/>
      <c r="AW1062" s="16"/>
      <c r="AX1062" s="16"/>
      <c r="AY1062" s="16"/>
      <c r="AZ1062" s="16"/>
      <c r="BA1062" s="16"/>
      <c r="BB1062" s="16"/>
      <c r="BC1062" s="16"/>
      <c r="BD1062" s="16"/>
      <c r="BE1062" s="16"/>
      <c r="BF1062" s="16"/>
      <c r="BG1062" s="16"/>
      <c r="BH1062" s="16"/>
      <c r="BI1062" s="16"/>
      <c r="BJ1062" s="16"/>
      <c r="BK1062" s="16"/>
      <c r="BL1062" s="16"/>
      <c r="BM1062" s="16"/>
      <c r="BN1062" s="16"/>
      <c r="BO1062" s="16"/>
      <c r="BP1062" s="16"/>
      <c r="BQ1062" s="16"/>
      <c r="BR1062" s="16"/>
      <c r="BS1062" s="16"/>
      <c r="BT1062" s="16"/>
      <c r="BU1062" s="16"/>
      <c r="BV1062" s="16"/>
      <c r="BW1062" s="16"/>
      <c r="BX1062" s="16"/>
      <c r="BY1062" s="16"/>
      <c r="BZ1062" s="16"/>
      <c r="CA1062" s="16"/>
      <c r="CB1062" s="16"/>
    </row>
    <row r="1063" spans="1:80" ht="16.149999999999999" customHeight="1" x14ac:dyDescent="0.25">
      <c r="A1063" s="16"/>
      <c r="B1063" s="16"/>
      <c r="C1063" s="16"/>
      <c r="D1063" s="16"/>
      <c r="E1063" s="16"/>
      <c r="F1063" s="16"/>
      <c r="G1063" s="17"/>
      <c r="H1063" s="17"/>
      <c r="I1063" s="17"/>
      <c r="J1063" s="17"/>
      <c r="K1063" s="17"/>
      <c r="L1063" s="18" t="s">
        <v>1479</v>
      </c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</row>
    <row r="1064" spans="1:80" ht="16.149999999999999" customHeight="1" x14ac:dyDescent="0.25">
      <c r="A1064" s="16"/>
      <c r="B1064" s="16"/>
      <c r="C1064" s="16"/>
      <c r="D1064" s="16"/>
      <c r="E1064" s="16"/>
      <c r="F1064" s="16"/>
      <c r="G1064" s="17"/>
      <c r="H1064" s="17"/>
      <c r="I1064" s="17"/>
      <c r="J1064" s="17"/>
      <c r="K1064" s="17"/>
      <c r="L1064" s="18" t="s">
        <v>1480</v>
      </c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6"/>
      <c r="AW1064" s="16"/>
      <c r="AX1064" s="16"/>
      <c r="AY1064" s="16"/>
      <c r="AZ1064" s="16"/>
      <c r="BA1064" s="16"/>
      <c r="BB1064" s="16"/>
      <c r="BC1064" s="16"/>
      <c r="BD1064" s="16"/>
      <c r="BE1064" s="16"/>
      <c r="BF1064" s="16"/>
      <c r="BG1064" s="16"/>
      <c r="BH1064" s="16"/>
      <c r="BI1064" s="16"/>
      <c r="BJ1064" s="16"/>
      <c r="BK1064" s="16"/>
      <c r="BL1064" s="16"/>
      <c r="BM1064" s="16"/>
      <c r="BN1064" s="16"/>
      <c r="BO1064" s="16"/>
      <c r="BP1064" s="16"/>
      <c r="BQ1064" s="16"/>
      <c r="BR1064" s="16"/>
      <c r="BS1064" s="16"/>
      <c r="BT1064" s="16"/>
      <c r="BU1064" s="16"/>
      <c r="BV1064" s="16"/>
      <c r="BW1064" s="16"/>
      <c r="BX1064" s="16"/>
      <c r="BY1064" s="16"/>
      <c r="BZ1064" s="16"/>
      <c r="CA1064" s="16"/>
      <c r="CB1064" s="16"/>
    </row>
    <row r="1065" spans="1:80" ht="16.149999999999999" customHeight="1" x14ac:dyDescent="0.25">
      <c r="A1065" s="16"/>
      <c r="B1065" s="16"/>
      <c r="C1065" s="16"/>
      <c r="D1065" s="16"/>
      <c r="E1065" s="16"/>
      <c r="F1065" s="16"/>
      <c r="G1065" s="17"/>
      <c r="H1065" s="17"/>
      <c r="I1065" s="17"/>
      <c r="J1065" s="17"/>
      <c r="K1065" s="17"/>
      <c r="L1065" s="18" t="s">
        <v>1481</v>
      </c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</row>
    <row r="1066" spans="1:80" ht="16.149999999999999" customHeight="1" x14ac:dyDescent="0.25">
      <c r="A1066" s="16"/>
      <c r="B1066" s="16"/>
      <c r="C1066" s="16"/>
      <c r="D1066" s="16"/>
      <c r="E1066" s="16"/>
      <c r="F1066" s="16"/>
      <c r="G1066" s="17"/>
      <c r="H1066" s="17"/>
      <c r="I1066" s="17"/>
      <c r="J1066" s="17"/>
      <c r="K1066" s="17"/>
      <c r="L1066" s="18" t="s">
        <v>1482</v>
      </c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6"/>
      <c r="AW1066" s="16"/>
      <c r="AX1066" s="16"/>
      <c r="AY1066" s="16"/>
      <c r="AZ1066" s="16"/>
      <c r="BA1066" s="16"/>
      <c r="BB1066" s="16"/>
      <c r="BC1066" s="16"/>
      <c r="BD1066" s="16"/>
      <c r="BE1066" s="16"/>
      <c r="BF1066" s="16"/>
      <c r="BG1066" s="16"/>
      <c r="BH1066" s="16"/>
      <c r="BI1066" s="16"/>
      <c r="BJ1066" s="16"/>
      <c r="BK1066" s="16"/>
      <c r="BL1066" s="16"/>
      <c r="BM1066" s="16"/>
      <c r="BN1066" s="16"/>
      <c r="BO1066" s="16"/>
      <c r="BP1066" s="16"/>
      <c r="BQ1066" s="16"/>
      <c r="BR1066" s="16"/>
      <c r="BS1066" s="16"/>
      <c r="BT1066" s="16"/>
      <c r="BU1066" s="16"/>
      <c r="BV1066" s="16"/>
      <c r="BW1066" s="16"/>
      <c r="BX1066" s="16"/>
      <c r="BY1066" s="16"/>
      <c r="BZ1066" s="16"/>
      <c r="CA1066" s="16"/>
      <c r="CB1066" s="16"/>
    </row>
    <row r="1067" spans="1:80" ht="16.149999999999999" customHeight="1" x14ac:dyDescent="0.25">
      <c r="A1067" s="16"/>
      <c r="B1067" s="16"/>
      <c r="C1067" s="16"/>
      <c r="D1067" s="16"/>
      <c r="E1067" s="16"/>
      <c r="F1067" s="16"/>
      <c r="G1067" s="17"/>
      <c r="H1067" s="17"/>
      <c r="I1067" s="17"/>
      <c r="J1067" s="17"/>
      <c r="K1067" s="17"/>
      <c r="L1067" s="18" t="s">
        <v>1483</v>
      </c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</row>
    <row r="1068" spans="1:80" ht="16.149999999999999" customHeight="1" x14ac:dyDescent="0.25">
      <c r="A1068" s="16"/>
      <c r="B1068" s="16"/>
      <c r="C1068" s="16"/>
      <c r="D1068" s="16"/>
      <c r="E1068" s="16"/>
      <c r="F1068" s="16"/>
      <c r="G1068" s="17"/>
      <c r="H1068" s="17"/>
      <c r="I1068" s="17"/>
      <c r="J1068" s="17"/>
      <c r="K1068" s="17"/>
      <c r="L1068" s="18" t="s">
        <v>1484</v>
      </c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6"/>
      <c r="AW1068" s="16"/>
      <c r="AX1068" s="16"/>
      <c r="AY1068" s="16"/>
      <c r="AZ1068" s="16"/>
      <c r="BA1068" s="16"/>
      <c r="BB1068" s="16"/>
      <c r="BC1068" s="16"/>
      <c r="BD1068" s="16"/>
      <c r="BE1068" s="16"/>
      <c r="BF1068" s="16"/>
      <c r="BG1068" s="16"/>
      <c r="BH1068" s="16"/>
      <c r="BI1068" s="16"/>
      <c r="BJ1068" s="16"/>
      <c r="BK1068" s="16"/>
      <c r="BL1068" s="16"/>
      <c r="BM1068" s="16"/>
      <c r="BN1068" s="16"/>
      <c r="BO1068" s="16"/>
      <c r="BP1068" s="16"/>
      <c r="BQ1068" s="16"/>
      <c r="BR1068" s="16"/>
      <c r="BS1068" s="16"/>
      <c r="BT1068" s="16"/>
      <c r="BU1068" s="16"/>
      <c r="BV1068" s="16"/>
      <c r="BW1068" s="16"/>
      <c r="BX1068" s="16"/>
      <c r="BY1068" s="16"/>
      <c r="BZ1068" s="16"/>
      <c r="CA1068" s="16"/>
      <c r="CB1068" s="16"/>
    </row>
    <row r="1069" spans="1:80" ht="16.149999999999999" customHeight="1" x14ac:dyDescent="0.25">
      <c r="A1069" s="16"/>
      <c r="B1069" s="16"/>
      <c r="C1069" s="16"/>
      <c r="D1069" s="16"/>
      <c r="E1069" s="16"/>
      <c r="F1069" s="16"/>
      <c r="G1069" s="17"/>
      <c r="H1069" s="17"/>
      <c r="I1069" s="17"/>
      <c r="J1069" s="17"/>
      <c r="K1069" s="17"/>
      <c r="L1069" s="18" t="s">
        <v>1485</v>
      </c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</row>
    <row r="1070" spans="1:80" ht="16.149999999999999" customHeight="1" x14ac:dyDescent="0.25">
      <c r="A1070" s="16"/>
      <c r="B1070" s="16"/>
      <c r="C1070" s="16"/>
      <c r="D1070" s="16"/>
      <c r="E1070" s="16"/>
      <c r="F1070" s="16"/>
      <c r="G1070" s="17"/>
      <c r="H1070" s="17"/>
      <c r="I1070" s="17"/>
      <c r="J1070" s="17"/>
      <c r="K1070" s="17"/>
      <c r="L1070" s="18" t="s">
        <v>1486</v>
      </c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6"/>
      <c r="AW1070" s="16"/>
      <c r="AX1070" s="16"/>
      <c r="AY1070" s="16"/>
      <c r="AZ1070" s="16"/>
      <c r="BA1070" s="16"/>
      <c r="BB1070" s="16"/>
      <c r="BC1070" s="16"/>
      <c r="BD1070" s="16"/>
      <c r="BE1070" s="16"/>
      <c r="BF1070" s="16"/>
      <c r="BG1070" s="16"/>
      <c r="BH1070" s="16"/>
      <c r="BI1070" s="16"/>
      <c r="BJ1070" s="16"/>
      <c r="BK1070" s="16"/>
      <c r="BL1070" s="16"/>
      <c r="BM1070" s="16"/>
      <c r="BN1070" s="16"/>
      <c r="BO1070" s="16"/>
      <c r="BP1070" s="16"/>
      <c r="BQ1070" s="16"/>
      <c r="BR1070" s="16"/>
      <c r="BS1070" s="16"/>
      <c r="BT1070" s="16"/>
      <c r="BU1070" s="16"/>
      <c r="BV1070" s="16"/>
      <c r="BW1070" s="16"/>
      <c r="BX1070" s="16"/>
      <c r="BY1070" s="16"/>
      <c r="BZ1070" s="16"/>
      <c r="CA1070" s="16"/>
      <c r="CB1070" s="16"/>
    </row>
    <row r="1071" spans="1:80" ht="16.149999999999999" customHeight="1" x14ac:dyDescent="0.25">
      <c r="A1071" s="16"/>
      <c r="B1071" s="16"/>
      <c r="C1071" s="16"/>
      <c r="D1071" s="16"/>
      <c r="E1071" s="16"/>
      <c r="F1071" s="16"/>
      <c r="G1071" s="17"/>
      <c r="H1071" s="17"/>
      <c r="I1071" s="17"/>
      <c r="J1071" s="17"/>
      <c r="K1071" s="17"/>
      <c r="L1071" s="18" t="s">
        <v>1487</v>
      </c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</row>
    <row r="1072" spans="1:80" ht="16.149999999999999" customHeight="1" x14ac:dyDescent="0.25">
      <c r="A1072" s="16"/>
      <c r="B1072" s="16"/>
      <c r="C1072" s="16"/>
      <c r="D1072" s="16"/>
      <c r="E1072" s="16"/>
      <c r="F1072" s="16"/>
      <c r="G1072" s="17"/>
      <c r="H1072" s="17"/>
      <c r="I1072" s="17"/>
      <c r="J1072" s="17"/>
      <c r="K1072" s="17"/>
      <c r="L1072" s="18" t="s">
        <v>1488</v>
      </c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6"/>
      <c r="AW1072" s="16"/>
      <c r="AX1072" s="16"/>
      <c r="AY1072" s="16"/>
      <c r="AZ1072" s="16"/>
      <c r="BA1072" s="16"/>
      <c r="BB1072" s="16"/>
      <c r="BC1072" s="16"/>
      <c r="BD1072" s="16"/>
      <c r="BE1072" s="16"/>
      <c r="BF1072" s="16"/>
      <c r="BG1072" s="16"/>
      <c r="BH1072" s="16"/>
      <c r="BI1072" s="16"/>
      <c r="BJ1072" s="16"/>
      <c r="BK1072" s="16"/>
      <c r="BL1072" s="16"/>
      <c r="BM1072" s="16"/>
      <c r="BN1072" s="16"/>
      <c r="BO1072" s="16"/>
      <c r="BP1072" s="16"/>
      <c r="BQ1072" s="16"/>
      <c r="BR1072" s="16"/>
      <c r="BS1072" s="16"/>
      <c r="BT1072" s="16"/>
      <c r="BU1072" s="16"/>
      <c r="BV1072" s="16"/>
      <c r="BW1072" s="16"/>
      <c r="BX1072" s="16"/>
      <c r="BY1072" s="16"/>
      <c r="BZ1072" s="16"/>
      <c r="CA1072" s="16"/>
      <c r="CB1072" s="16"/>
    </row>
    <row r="1073" spans="1:80" ht="16.149999999999999" customHeight="1" x14ac:dyDescent="0.25">
      <c r="A1073" s="16"/>
      <c r="B1073" s="16"/>
      <c r="C1073" s="16"/>
      <c r="D1073" s="16"/>
      <c r="E1073" s="16"/>
      <c r="F1073" s="16"/>
      <c r="G1073" s="17"/>
      <c r="H1073" s="17"/>
      <c r="I1073" s="17"/>
      <c r="J1073" s="17"/>
      <c r="K1073" s="17"/>
      <c r="L1073" s="18" t="s">
        <v>1489</v>
      </c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</row>
    <row r="1074" spans="1:80" ht="16.149999999999999" customHeight="1" x14ac:dyDescent="0.25">
      <c r="A1074" s="16"/>
      <c r="B1074" s="16"/>
      <c r="C1074" s="16"/>
      <c r="D1074" s="16"/>
      <c r="E1074" s="16"/>
      <c r="F1074" s="16"/>
      <c r="G1074" s="17"/>
      <c r="H1074" s="17"/>
      <c r="I1074" s="17"/>
      <c r="J1074" s="17"/>
      <c r="K1074" s="17"/>
      <c r="L1074" s="18" t="s">
        <v>1490</v>
      </c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6"/>
      <c r="AW1074" s="16"/>
      <c r="AX1074" s="16"/>
      <c r="AY1074" s="16"/>
      <c r="AZ1074" s="16"/>
      <c r="BA1074" s="16"/>
      <c r="BB1074" s="16"/>
      <c r="BC1074" s="16"/>
      <c r="BD1074" s="16"/>
      <c r="BE1074" s="16"/>
      <c r="BF1074" s="16"/>
      <c r="BG1074" s="16"/>
      <c r="BH1074" s="16"/>
      <c r="BI1074" s="16"/>
      <c r="BJ1074" s="16"/>
      <c r="BK1074" s="16"/>
      <c r="BL1074" s="16"/>
      <c r="BM1074" s="16"/>
      <c r="BN1074" s="16"/>
      <c r="BO1074" s="16"/>
      <c r="BP1074" s="16"/>
      <c r="BQ1074" s="16"/>
      <c r="BR1074" s="16"/>
      <c r="BS1074" s="16"/>
      <c r="BT1074" s="16"/>
      <c r="BU1074" s="16"/>
      <c r="BV1074" s="16"/>
      <c r="BW1074" s="16"/>
      <c r="BX1074" s="16"/>
      <c r="BY1074" s="16"/>
      <c r="BZ1074" s="16"/>
      <c r="CA1074" s="16"/>
      <c r="CB1074" s="16"/>
    </row>
    <row r="1075" spans="1:80" ht="16.149999999999999" customHeight="1" x14ac:dyDescent="0.25">
      <c r="A1075" s="16"/>
      <c r="B1075" s="16"/>
      <c r="C1075" s="16"/>
      <c r="D1075" s="16"/>
      <c r="E1075" s="16"/>
      <c r="F1075" s="16"/>
      <c r="G1075" s="17"/>
      <c r="H1075" s="17"/>
      <c r="I1075" s="17"/>
      <c r="J1075" s="17"/>
      <c r="K1075" s="17"/>
      <c r="L1075" s="18" t="s">
        <v>1491</v>
      </c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</row>
    <row r="1076" spans="1:80" ht="16.149999999999999" customHeight="1" x14ac:dyDescent="0.25">
      <c r="A1076" s="16"/>
      <c r="B1076" s="16"/>
      <c r="C1076" s="16"/>
      <c r="D1076" s="16"/>
      <c r="E1076" s="16"/>
      <c r="F1076" s="16"/>
      <c r="G1076" s="17"/>
      <c r="H1076" s="17"/>
      <c r="I1076" s="17"/>
      <c r="J1076" s="17"/>
      <c r="K1076" s="17"/>
      <c r="L1076" s="18" t="s">
        <v>1492</v>
      </c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6"/>
      <c r="AW1076" s="16"/>
      <c r="AX1076" s="16"/>
      <c r="AY1076" s="16"/>
      <c r="AZ1076" s="16"/>
      <c r="BA1076" s="16"/>
      <c r="BB1076" s="16"/>
      <c r="BC1076" s="16"/>
      <c r="BD1076" s="16"/>
      <c r="BE1076" s="16"/>
      <c r="BF1076" s="16"/>
      <c r="BG1076" s="16"/>
      <c r="BH1076" s="16"/>
      <c r="BI1076" s="16"/>
      <c r="BJ1076" s="16"/>
      <c r="BK1076" s="16"/>
      <c r="BL1076" s="16"/>
      <c r="BM1076" s="16"/>
      <c r="BN1076" s="16"/>
      <c r="BO1076" s="16"/>
      <c r="BP1076" s="16"/>
      <c r="BQ1076" s="16"/>
      <c r="BR1076" s="16"/>
      <c r="BS1076" s="16"/>
      <c r="BT1076" s="16"/>
      <c r="BU1076" s="16"/>
      <c r="BV1076" s="16"/>
      <c r="BW1076" s="16"/>
      <c r="BX1076" s="16"/>
      <c r="BY1076" s="16"/>
      <c r="BZ1076" s="16"/>
      <c r="CA1076" s="16"/>
      <c r="CB1076" s="16"/>
    </row>
    <row r="1077" spans="1:80" ht="16.149999999999999" customHeight="1" x14ac:dyDescent="0.25">
      <c r="A1077" s="16"/>
      <c r="B1077" s="16"/>
      <c r="C1077" s="16"/>
      <c r="D1077" s="16"/>
      <c r="E1077" s="16"/>
      <c r="F1077" s="16"/>
      <c r="G1077" s="17"/>
      <c r="H1077" s="17"/>
      <c r="I1077" s="17"/>
      <c r="J1077" s="17"/>
      <c r="K1077" s="17"/>
      <c r="L1077" s="18" t="s">
        <v>1493</v>
      </c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</row>
    <row r="1078" spans="1:80" ht="16.149999999999999" customHeight="1" x14ac:dyDescent="0.25">
      <c r="A1078" s="16"/>
      <c r="B1078" s="16"/>
      <c r="C1078" s="16"/>
      <c r="D1078" s="16"/>
      <c r="E1078" s="16"/>
      <c r="F1078" s="16"/>
      <c r="G1078" s="17"/>
      <c r="H1078" s="17"/>
      <c r="I1078" s="17"/>
      <c r="J1078" s="17"/>
      <c r="K1078" s="17"/>
      <c r="L1078" s="18" t="s">
        <v>1494</v>
      </c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6"/>
      <c r="AW1078" s="16"/>
      <c r="AX1078" s="16"/>
      <c r="AY1078" s="16"/>
      <c r="AZ1078" s="16"/>
      <c r="BA1078" s="16"/>
      <c r="BB1078" s="16"/>
      <c r="BC1078" s="16"/>
      <c r="BD1078" s="16"/>
      <c r="BE1078" s="16"/>
      <c r="BF1078" s="16"/>
      <c r="BG1078" s="16"/>
      <c r="BH1078" s="16"/>
      <c r="BI1078" s="16"/>
      <c r="BJ1078" s="16"/>
      <c r="BK1078" s="16"/>
      <c r="BL1078" s="16"/>
      <c r="BM1078" s="16"/>
      <c r="BN1078" s="16"/>
      <c r="BO1078" s="16"/>
      <c r="BP1078" s="16"/>
      <c r="BQ1078" s="16"/>
      <c r="BR1078" s="16"/>
      <c r="BS1078" s="16"/>
      <c r="BT1078" s="16"/>
      <c r="BU1078" s="16"/>
      <c r="BV1078" s="16"/>
      <c r="BW1078" s="16"/>
      <c r="BX1078" s="16"/>
      <c r="BY1078" s="16"/>
      <c r="BZ1078" s="16"/>
      <c r="CA1078" s="16"/>
      <c r="CB1078" s="16"/>
    </row>
    <row r="1079" spans="1:80" ht="16.149999999999999" customHeight="1" x14ac:dyDescent="0.25">
      <c r="A1079" s="16"/>
      <c r="B1079" s="16"/>
      <c r="C1079" s="16"/>
      <c r="D1079" s="16"/>
      <c r="E1079" s="16"/>
      <c r="F1079" s="16"/>
      <c r="G1079" s="17"/>
      <c r="H1079" s="17"/>
      <c r="I1079" s="17"/>
      <c r="J1079" s="17"/>
      <c r="K1079" s="17"/>
      <c r="L1079" s="18" t="s">
        <v>1495</v>
      </c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</row>
    <row r="1080" spans="1:80" ht="16.149999999999999" customHeight="1" x14ac:dyDescent="0.25">
      <c r="A1080" s="16"/>
      <c r="B1080" s="16"/>
      <c r="C1080" s="16"/>
      <c r="D1080" s="16"/>
      <c r="E1080" s="16"/>
      <c r="F1080" s="16"/>
      <c r="G1080" s="17"/>
      <c r="H1080" s="17"/>
      <c r="I1080" s="17"/>
      <c r="J1080" s="17"/>
      <c r="K1080" s="17"/>
      <c r="L1080" s="18" t="s">
        <v>1496</v>
      </c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6"/>
      <c r="AW1080" s="16"/>
      <c r="AX1080" s="16"/>
      <c r="AY1080" s="16"/>
      <c r="AZ1080" s="16"/>
      <c r="BA1080" s="16"/>
      <c r="BB1080" s="16"/>
      <c r="BC1080" s="16"/>
      <c r="BD1080" s="16"/>
      <c r="BE1080" s="16"/>
      <c r="BF1080" s="16"/>
      <c r="BG1080" s="16"/>
      <c r="BH1080" s="16"/>
      <c r="BI1080" s="16"/>
      <c r="BJ1080" s="16"/>
      <c r="BK1080" s="16"/>
      <c r="BL1080" s="16"/>
      <c r="BM1080" s="16"/>
      <c r="BN1080" s="16"/>
      <c r="BO1080" s="16"/>
      <c r="BP1080" s="16"/>
      <c r="BQ1080" s="16"/>
      <c r="BR1080" s="16"/>
      <c r="BS1080" s="16"/>
      <c r="BT1080" s="16"/>
      <c r="BU1080" s="16"/>
      <c r="BV1080" s="16"/>
      <c r="BW1080" s="16"/>
      <c r="BX1080" s="16"/>
      <c r="BY1080" s="16"/>
      <c r="BZ1080" s="16"/>
      <c r="CA1080" s="16"/>
      <c r="CB1080" s="16"/>
    </row>
    <row r="1081" spans="1:80" ht="16.149999999999999" customHeight="1" x14ac:dyDescent="0.25">
      <c r="A1081" s="16"/>
      <c r="B1081" s="16"/>
      <c r="C1081" s="16"/>
      <c r="D1081" s="16"/>
      <c r="E1081" s="16"/>
      <c r="F1081" s="16"/>
      <c r="G1081" s="17"/>
      <c r="H1081" s="17"/>
      <c r="I1081" s="17"/>
      <c r="J1081" s="17"/>
      <c r="K1081" s="17"/>
      <c r="L1081" s="18" t="s">
        <v>1497</v>
      </c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6"/>
      <c r="AW1081" s="16"/>
      <c r="AX1081" s="16"/>
      <c r="AY1081" s="16"/>
      <c r="AZ1081" s="16"/>
      <c r="BA1081" s="16"/>
      <c r="BB1081" s="16"/>
      <c r="BC1081" s="16"/>
      <c r="BD1081" s="16"/>
      <c r="BE1081" s="16"/>
      <c r="BF1081" s="16"/>
      <c r="BG1081" s="16"/>
      <c r="BH1081" s="16"/>
      <c r="BI1081" s="16"/>
      <c r="BJ1081" s="16"/>
      <c r="BK1081" s="16"/>
      <c r="BL1081" s="16"/>
      <c r="BM1081" s="16"/>
      <c r="BN1081" s="16"/>
      <c r="BO1081" s="16"/>
      <c r="BP1081" s="16"/>
      <c r="BQ1081" s="16"/>
      <c r="BR1081" s="16"/>
      <c r="BS1081" s="16"/>
      <c r="BT1081" s="16"/>
      <c r="BU1081" s="16"/>
      <c r="BV1081" s="16"/>
      <c r="BW1081" s="16"/>
      <c r="BX1081" s="16"/>
      <c r="BY1081" s="16"/>
      <c r="BZ1081" s="16"/>
      <c r="CA1081" s="16"/>
      <c r="CB1081" s="16"/>
    </row>
    <row r="1082" spans="1:80" ht="16.149999999999999" customHeight="1" x14ac:dyDescent="0.25">
      <c r="A1082" s="16"/>
      <c r="B1082" s="16"/>
      <c r="C1082" s="16"/>
      <c r="D1082" s="16"/>
      <c r="E1082" s="16"/>
      <c r="F1082" s="16"/>
      <c r="G1082" s="17"/>
      <c r="H1082" s="17"/>
      <c r="I1082" s="17"/>
      <c r="J1082" s="17"/>
      <c r="K1082" s="17"/>
      <c r="L1082" s="18" t="s">
        <v>1498</v>
      </c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</row>
    <row r="1083" spans="1:80" ht="16.149999999999999" customHeight="1" x14ac:dyDescent="0.25">
      <c r="A1083" s="16"/>
      <c r="B1083" s="16"/>
      <c r="C1083" s="16"/>
      <c r="D1083" s="16"/>
      <c r="E1083" s="16"/>
      <c r="F1083" s="16"/>
      <c r="G1083" s="17"/>
      <c r="H1083" s="17"/>
      <c r="I1083" s="17"/>
      <c r="J1083" s="17"/>
      <c r="K1083" s="17"/>
      <c r="L1083" s="18" t="s">
        <v>1499</v>
      </c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6"/>
      <c r="AW1083" s="16"/>
      <c r="AX1083" s="16"/>
      <c r="AY1083" s="16"/>
      <c r="AZ1083" s="16"/>
      <c r="BA1083" s="16"/>
      <c r="BB1083" s="16"/>
      <c r="BC1083" s="16"/>
      <c r="BD1083" s="16"/>
      <c r="BE1083" s="16"/>
      <c r="BF1083" s="16"/>
      <c r="BG1083" s="16"/>
      <c r="BH1083" s="16"/>
      <c r="BI1083" s="16"/>
      <c r="BJ1083" s="16"/>
      <c r="BK1083" s="16"/>
      <c r="BL1083" s="16"/>
      <c r="BM1083" s="16"/>
      <c r="BN1083" s="16"/>
      <c r="BO1083" s="16"/>
      <c r="BP1083" s="16"/>
      <c r="BQ1083" s="16"/>
      <c r="BR1083" s="16"/>
      <c r="BS1083" s="16"/>
      <c r="BT1083" s="16"/>
      <c r="BU1083" s="16"/>
      <c r="BV1083" s="16"/>
      <c r="BW1083" s="16"/>
      <c r="BX1083" s="16"/>
      <c r="BY1083" s="16"/>
      <c r="BZ1083" s="16"/>
      <c r="CA1083" s="16"/>
      <c r="CB1083" s="16"/>
    </row>
    <row r="1084" spans="1:80" ht="16.149999999999999" customHeight="1" x14ac:dyDescent="0.25">
      <c r="A1084" s="16"/>
      <c r="B1084" s="16"/>
      <c r="C1084" s="16"/>
      <c r="D1084" s="16"/>
      <c r="E1084" s="16"/>
      <c r="F1084" s="16"/>
      <c r="G1084" s="17"/>
      <c r="H1084" s="17"/>
      <c r="I1084" s="17"/>
      <c r="J1084" s="17"/>
      <c r="K1084" s="17"/>
      <c r="L1084" s="18" t="s">
        <v>1500</v>
      </c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</row>
    <row r="1085" spans="1:80" ht="16.149999999999999" customHeight="1" x14ac:dyDescent="0.25">
      <c r="A1085" s="16"/>
      <c r="B1085" s="16"/>
      <c r="C1085" s="16"/>
      <c r="D1085" s="16"/>
      <c r="E1085" s="16"/>
      <c r="F1085" s="16"/>
      <c r="G1085" s="17"/>
      <c r="H1085" s="17"/>
      <c r="I1085" s="17"/>
      <c r="J1085" s="17"/>
      <c r="K1085" s="17"/>
      <c r="L1085" s="18" t="s">
        <v>1501</v>
      </c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6"/>
      <c r="AW1085" s="16"/>
      <c r="AX1085" s="16"/>
      <c r="AY1085" s="16"/>
      <c r="AZ1085" s="16"/>
      <c r="BA1085" s="16"/>
      <c r="BB1085" s="16"/>
      <c r="BC1085" s="16"/>
      <c r="BD1085" s="16"/>
      <c r="BE1085" s="16"/>
      <c r="BF1085" s="16"/>
      <c r="BG1085" s="16"/>
      <c r="BH1085" s="16"/>
      <c r="BI1085" s="16"/>
      <c r="BJ1085" s="16"/>
      <c r="BK1085" s="16"/>
      <c r="BL1085" s="16"/>
      <c r="BM1085" s="16"/>
      <c r="BN1085" s="16"/>
      <c r="BO1085" s="16"/>
      <c r="BP1085" s="16"/>
      <c r="BQ1085" s="16"/>
      <c r="BR1085" s="16"/>
      <c r="BS1085" s="16"/>
      <c r="BT1085" s="16"/>
      <c r="BU1085" s="16"/>
      <c r="BV1085" s="16"/>
      <c r="BW1085" s="16"/>
      <c r="BX1085" s="16"/>
      <c r="BY1085" s="16"/>
      <c r="BZ1085" s="16"/>
      <c r="CA1085" s="16"/>
      <c r="CB1085" s="16"/>
    </row>
    <row r="1086" spans="1:80" ht="16.149999999999999" customHeight="1" x14ac:dyDescent="0.25">
      <c r="A1086" s="16"/>
      <c r="B1086" s="16"/>
      <c r="C1086" s="16"/>
      <c r="D1086" s="16"/>
      <c r="E1086" s="16"/>
      <c r="F1086" s="16"/>
      <c r="G1086" s="17"/>
      <c r="H1086" s="17"/>
      <c r="I1086" s="17"/>
      <c r="J1086" s="17"/>
      <c r="K1086" s="17"/>
      <c r="L1086" s="18" t="s">
        <v>1502</v>
      </c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</row>
    <row r="1087" spans="1:80" ht="16.149999999999999" customHeight="1" x14ac:dyDescent="0.25">
      <c r="A1087" s="16"/>
      <c r="B1087" s="16"/>
      <c r="C1087" s="16"/>
      <c r="D1087" s="16"/>
      <c r="E1087" s="16"/>
      <c r="F1087" s="16"/>
      <c r="G1087" s="17"/>
      <c r="H1087" s="17"/>
      <c r="I1087" s="17"/>
      <c r="J1087" s="17"/>
      <c r="K1087" s="17"/>
      <c r="L1087" s="18" t="s">
        <v>1503</v>
      </c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6"/>
      <c r="AW1087" s="16"/>
      <c r="AX1087" s="16"/>
      <c r="AY1087" s="16"/>
      <c r="AZ1087" s="16"/>
      <c r="BA1087" s="16"/>
      <c r="BB1087" s="16"/>
      <c r="BC1087" s="16"/>
      <c r="BD1087" s="16"/>
      <c r="BE1087" s="16"/>
      <c r="BF1087" s="16"/>
      <c r="BG1087" s="16"/>
      <c r="BH1087" s="16"/>
      <c r="BI1087" s="16"/>
      <c r="BJ1087" s="16"/>
      <c r="BK1087" s="16"/>
      <c r="BL1087" s="16"/>
      <c r="BM1087" s="16"/>
      <c r="BN1087" s="16"/>
      <c r="BO1087" s="16"/>
      <c r="BP1087" s="16"/>
      <c r="BQ1087" s="16"/>
      <c r="BR1087" s="16"/>
      <c r="BS1087" s="16"/>
      <c r="BT1087" s="16"/>
      <c r="BU1087" s="16"/>
      <c r="BV1087" s="16"/>
      <c r="BW1087" s="16"/>
      <c r="BX1087" s="16"/>
      <c r="BY1087" s="16"/>
      <c r="BZ1087" s="16"/>
      <c r="CA1087" s="16"/>
      <c r="CB1087" s="16"/>
    </row>
    <row r="1088" spans="1:80" ht="16.149999999999999" customHeight="1" x14ac:dyDescent="0.25">
      <c r="A1088" s="16"/>
      <c r="B1088" s="16"/>
      <c r="C1088" s="16"/>
      <c r="D1088" s="16"/>
      <c r="E1088" s="16"/>
      <c r="F1088" s="16"/>
      <c r="G1088" s="17"/>
      <c r="H1088" s="17"/>
      <c r="I1088" s="17"/>
      <c r="J1088" s="17"/>
      <c r="K1088" s="17"/>
      <c r="L1088" s="18" t="s">
        <v>1504</v>
      </c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</row>
    <row r="1089" spans="1:80" ht="16.149999999999999" customHeight="1" x14ac:dyDescent="0.25">
      <c r="A1089" s="16"/>
      <c r="B1089" s="16"/>
      <c r="C1089" s="16"/>
      <c r="D1089" s="16"/>
      <c r="E1089" s="16"/>
      <c r="F1089" s="16"/>
      <c r="G1089" s="17"/>
      <c r="H1089" s="17"/>
      <c r="I1089" s="17"/>
      <c r="J1089" s="17"/>
      <c r="K1089" s="17"/>
      <c r="L1089" s="18" t="s">
        <v>1505</v>
      </c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6"/>
      <c r="AW1089" s="16"/>
      <c r="AX1089" s="16"/>
      <c r="AY1089" s="16"/>
      <c r="AZ1089" s="16"/>
      <c r="BA1089" s="16"/>
      <c r="BB1089" s="16"/>
      <c r="BC1089" s="16"/>
      <c r="BD1089" s="16"/>
      <c r="BE1089" s="16"/>
      <c r="BF1089" s="16"/>
      <c r="BG1089" s="16"/>
      <c r="BH1089" s="16"/>
      <c r="BI1089" s="16"/>
      <c r="BJ1089" s="16"/>
      <c r="BK1089" s="16"/>
      <c r="BL1089" s="16"/>
      <c r="BM1089" s="16"/>
      <c r="BN1089" s="16"/>
      <c r="BO1089" s="16"/>
      <c r="BP1089" s="16"/>
      <c r="BQ1089" s="16"/>
      <c r="BR1089" s="16"/>
      <c r="BS1089" s="16"/>
      <c r="BT1089" s="16"/>
      <c r="BU1089" s="16"/>
      <c r="BV1089" s="16"/>
      <c r="BW1089" s="16"/>
      <c r="BX1089" s="16"/>
      <c r="BY1089" s="16"/>
      <c r="BZ1089" s="16"/>
      <c r="CA1089" s="16"/>
      <c r="CB1089" s="16"/>
    </row>
    <row r="1090" spans="1:80" ht="16.149999999999999" customHeight="1" x14ac:dyDescent="0.25">
      <c r="A1090" s="16"/>
      <c r="B1090" s="16"/>
      <c r="C1090" s="16"/>
      <c r="D1090" s="16"/>
      <c r="E1090" s="16"/>
      <c r="F1090" s="16"/>
      <c r="G1090" s="17"/>
      <c r="H1090" s="17"/>
      <c r="I1090" s="17"/>
      <c r="J1090" s="17"/>
      <c r="K1090" s="17"/>
      <c r="L1090" s="18" t="s">
        <v>1506</v>
      </c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</row>
    <row r="1091" spans="1:80" ht="16.149999999999999" customHeight="1" x14ac:dyDescent="0.25">
      <c r="A1091" s="16"/>
      <c r="B1091" s="16"/>
      <c r="C1091" s="16"/>
      <c r="D1091" s="16"/>
      <c r="E1091" s="16"/>
      <c r="F1091" s="16"/>
      <c r="G1091" s="17"/>
      <c r="H1091" s="17"/>
      <c r="I1091" s="17"/>
      <c r="J1091" s="17"/>
      <c r="K1091" s="17"/>
      <c r="L1091" s="18" t="s">
        <v>1507</v>
      </c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6"/>
      <c r="AW1091" s="16"/>
      <c r="AX1091" s="16"/>
      <c r="AY1091" s="16"/>
      <c r="AZ1091" s="16"/>
      <c r="BA1091" s="16"/>
      <c r="BB1091" s="16"/>
      <c r="BC1091" s="16"/>
      <c r="BD1091" s="16"/>
      <c r="BE1091" s="16"/>
      <c r="BF1091" s="16"/>
      <c r="BG1091" s="16"/>
      <c r="BH1091" s="16"/>
      <c r="BI1091" s="16"/>
      <c r="BJ1091" s="16"/>
      <c r="BK1091" s="16"/>
      <c r="BL1091" s="16"/>
      <c r="BM1091" s="16"/>
      <c r="BN1091" s="16"/>
      <c r="BO1091" s="16"/>
      <c r="BP1091" s="16"/>
      <c r="BQ1091" s="16"/>
      <c r="BR1091" s="16"/>
      <c r="BS1091" s="16"/>
      <c r="BT1091" s="16"/>
      <c r="BU1091" s="16"/>
      <c r="BV1091" s="16"/>
      <c r="BW1091" s="16"/>
      <c r="BX1091" s="16"/>
      <c r="BY1091" s="16"/>
      <c r="BZ1091" s="16"/>
      <c r="CA1091" s="16"/>
      <c r="CB1091" s="16"/>
    </row>
    <row r="1092" spans="1:80" ht="16.149999999999999" customHeight="1" x14ac:dyDescent="0.25">
      <c r="A1092" s="16"/>
      <c r="B1092" s="16"/>
      <c r="C1092" s="16"/>
      <c r="D1092" s="16"/>
      <c r="E1092" s="16"/>
      <c r="F1092" s="16"/>
      <c r="G1092" s="17"/>
      <c r="H1092" s="17"/>
      <c r="I1092" s="17"/>
      <c r="J1092" s="17"/>
      <c r="K1092" s="17"/>
      <c r="L1092" s="18" t="s">
        <v>1508</v>
      </c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</row>
    <row r="1093" spans="1:80" ht="16.149999999999999" customHeight="1" x14ac:dyDescent="0.25">
      <c r="A1093" s="16"/>
      <c r="B1093" s="16"/>
      <c r="C1093" s="16"/>
      <c r="D1093" s="16"/>
      <c r="E1093" s="16"/>
      <c r="F1093" s="16"/>
      <c r="G1093" s="17"/>
      <c r="H1093" s="17"/>
      <c r="I1093" s="17"/>
      <c r="J1093" s="17"/>
      <c r="K1093" s="17"/>
      <c r="L1093" s="18" t="s">
        <v>1509</v>
      </c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6"/>
      <c r="AW1093" s="16"/>
      <c r="AX1093" s="16"/>
      <c r="AY1093" s="16"/>
      <c r="AZ1093" s="16"/>
      <c r="BA1093" s="16"/>
      <c r="BB1093" s="16"/>
      <c r="BC1093" s="16"/>
      <c r="BD1093" s="16"/>
      <c r="BE1093" s="16"/>
      <c r="BF1093" s="16"/>
      <c r="BG1093" s="16"/>
      <c r="BH1093" s="16"/>
      <c r="BI1093" s="16"/>
      <c r="BJ1093" s="16"/>
      <c r="BK1093" s="16"/>
      <c r="BL1093" s="16"/>
      <c r="BM1093" s="16"/>
      <c r="BN1093" s="16"/>
      <c r="BO1093" s="16"/>
      <c r="BP1093" s="16"/>
      <c r="BQ1093" s="16"/>
      <c r="BR1093" s="16"/>
      <c r="BS1093" s="16"/>
      <c r="BT1093" s="16"/>
      <c r="BU1093" s="16"/>
      <c r="BV1093" s="16"/>
      <c r="BW1093" s="16"/>
      <c r="BX1093" s="16"/>
      <c r="BY1093" s="16"/>
      <c r="BZ1093" s="16"/>
      <c r="CA1093" s="16"/>
      <c r="CB1093" s="16"/>
    </row>
    <row r="1094" spans="1:80" ht="16.149999999999999" customHeight="1" x14ac:dyDescent="0.25">
      <c r="A1094" s="16"/>
      <c r="B1094" s="16"/>
      <c r="C1094" s="16"/>
      <c r="D1094" s="16"/>
      <c r="E1094" s="16"/>
      <c r="F1094" s="16"/>
      <c r="G1094" s="17"/>
      <c r="H1094" s="17"/>
      <c r="I1094" s="17"/>
      <c r="J1094" s="17"/>
      <c r="K1094" s="17"/>
      <c r="L1094" s="18" t="s">
        <v>1510</v>
      </c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</row>
    <row r="1095" spans="1:80" ht="16.149999999999999" customHeight="1" x14ac:dyDescent="0.25">
      <c r="A1095" s="16"/>
      <c r="B1095" s="16"/>
      <c r="C1095" s="16"/>
      <c r="D1095" s="16"/>
      <c r="E1095" s="16"/>
      <c r="F1095" s="16"/>
      <c r="G1095" s="17"/>
      <c r="H1095" s="17"/>
      <c r="I1095" s="17"/>
      <c r="J1095" s="17"/>
      <c r="K1095" s="17"/>
      <c r="L1095" s="18" t="s">
        <v>1511</v>
      </c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6"/>
      <c r="AW1095" s="16"/>
      <c r="AX1095" s="16"/>
      <c r="AY1095" s="16"/>
      <c r="AZ1095" s="16"/>
      <c r="BA1095" s="16"/>
      <c r="BB1095" s="16"/>
      <c r="BC1095" s="16"/>
      <c r="BD1095" s="16"/>
      <c r="BE1095" s="16"/>
      <c r="BF1095" s="16"/>
      <c r="BG1095" s="16"/>
      <c r="BH1095" s="16"/>
      <c r="BI1095" s="16"/>
      <c r="BJ1095" s="16"/>
      <c r="BK1095" s="16"/>
      <c r="BL1095" s="16"/>
      <c r="BM1095" s="16"/>
      <c r="BN1095" s="16"/>
      <c r="BO1095" s="16"/>
      <c r="BP1095" s="16"/>
      <c r="BQ1095" s="16"/>
      <c r="BR1095" s="16"/>
      <c r="BS1095" s="16"/>
      <c r="BT1095" s="16"/>
      <c r="BU1095" s="16"/>
      <c r="BV1095" s="16"/>
      <c r="BW1095" s="16"/>
      <c r="BX1095" s="16"/>
      <c r="BY1095" s="16"/>
      <c r="BZ1095" s="16"/>
      <c r="CA1095" s="16"/>
      <c r="CB1095" s="16"/>
    </row>
    <row r="1096" spans="1:80" ht="16.149999999999999" customHeight="1" x14ac:dyDescent="0.25">
      <c r="A1096" s="16"/>
      <c r="B1096" s="16"/>
      <c r="C1096" s="16"/>
      <c r="D1096" s="16"/>
      <c r="E1096" s="16"/>
      <c r="F1096" s="16"/>
      <c r="G1096" s="17"/>
      <c r="H1096" s="17"/>
      <c r="I1096" s="17"/>
      <c r="J1096" s="17"/>
      <c r="K1096" s="17"/>
      <c r="L1096" s="18" t="s">
        <v>1512</v>
      </c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</row>
    <row r="1097" spans="1:80" ht="16.149999999999999" customHeight="1" x14ac:dyDescent="0.25">
      <c r="A1097" s="16"/>
      <c r="B1097" s="16"/>
      <c r="C1097" s="16"/>
      <c r="D1097" s="16"/>
      <c r="E1097" s="16"/>
      <c r="F1097" s="16"/>
      <c r="G1097" s="17"/>
      <c r="H1097" s="17"/>
      <c r="I1097" s="17"/>
      <c r="J1097" s="17"/>
      <c r="K1097" s="17"/>
      <c r="L1097" s="18" t="s">
        <v>1513</v>
      </c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6"/>
      <c r="AW1097" s="16"/>
      <c r="AX1097" s="16"/>
      <c r="AY1097" s="16"/>
      <c r="AZ1097" s="16"/>
      <c r="BA1097" s="16"/>
      <c r="BB1097" s="16"/>
      <c r="BC1097" s="16"/>
      <c r="BD1097" s="16"/>
      <c r="BE1097" s="16"/>
      <c r="BF1097" s="16"/>
      <c r="BG1097" s="16"/>
      <c r="BH1097" s="16"/>
      <c r="BI1097" s="16"/>
      <c r="BJ1097" s="16"/>
      <c r="BK1097" s="16"/>
      <c r="BL1097" s="16"/>
      <c r="BM1097" s="16"/>
      <c r="BN1097" s="16"/>
      <c r="BO1097" s="16"/>
      <c r="BP1097" s="16"/>
      <c r="BQ1097" s="16"/>
      <c r="BR1097" s="16"/>
      <c r="BS1097" s="16"/>
      <c r="BT1097" s="16"/>
      <c r="BU1097" s="16"/>
      <c r="BV1097" s="16"/>
      <c r="BW1097" s="16"/>
      <c r="BX1097" s="16"/>
      <c r="BY1097" s="16"/>
      <c r="BZ1097" s="16"/>
      <c r="CA1097" s="16"/>
      <c r="CB1097" s="16"/>
    </row>
    <row r="1098" spans="1:80" ht="16.149999999999999" customHeight="1" x14ac:dyDescent="0.25">
      <c r="A1098" s="16"/>
      <c r="B1098" s="16"/>
      <c r="C1098" s="16"/>
      <c r="D1098" s="16"/>
      <c r="E1098" s="16"/>
      <c r="F1098" s="16"/>
      <c r="G1098" s="17"/>
      <c r="H1098" s="17"/>
      <c r="I1098" s="17"/>
      <c r="J1098" s="17"/>
      <c r="K1098" s="17"/>
      <c r="L1098" s="18" t="s">
        <v>1514</v>
      </c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</row>
    <row r="1099" spans="1:80" ht="16.149999999999999" customHeight="1" x14ac:dyDescent="0.25">
      <c r="A1099" s="16"/>
      <c r="B1099" s="16"/>
      <c r="C1099" s="16"/>
      <c r="D1099" s="16"/>
      <c r="E1099" s="16"/>
      <c r="F1099" s="16"/>
      <c r="G1099" s="17"/>
      <c r="H1099" s="17"/>
      <c r="I1099" s="17"/>
      <c r="J1099" s="17"/>
      <c r="K1099" s="17"/>
      <c r="L1099" s="18" t="s">
        <v>1515</v>
      </c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6"/>
      <c r="AW1099" s="16"/>
      <c r="AX1099" s="16"/>
      <c r="AY1099" s="16"/>
      <c r="AZ1099" s="16"/>
      <c r="BA1099" s="16"/>
      <c r="BB1099" s="16"/>
      <c r="BC1099" s="16"/>
      <c r="BD1099" s="16"/>
      <c r="BE1099" s="16"/>
      <c r="BF1099" s="16"/>
      <c r="BG1099" s="16"/>
      <c r="BH1099" s="16"/>
      <c r="BI1099" s="16"/>
      <c r="BJ1099" s="16"/>
      <c r="BK1099" s="16"/>
      <c r="BL1099" s="16"/>
      <c r="BM1099" s="16"/>
      <c r="BN1099" s="16"/>
      <c r="BO1099" s="16"/>
      <c r="BP1099" s="16"/>
      <c r="BQ1099" s="16"/>
      <c r="BR1099" s="16"/>
      <c r="BS1099" s="16"/>
      <c r="BT1099" s="16"/>
      <c r="BU1099" s="16"/>
      <c r="BV1099" s="16"/>
      <c r="BW1099" s="16"/>
      <c r="BX1099" s="16"/>
      <c r="BY1099" s="16"/>
      <c r="BZ1099" s="16"/>
      <c r="CA1099" s="16"/>
      <c r="CB1099" s="16"/>
    </row>
    <row r="1100" spans="1:80" ht="16.149999999999999" customHeight="1" x14ac:dyDescent="0.25">
      <c r="A1100" s="16"/>
      <c r="B1100" s="16"/>
      <c r="C1100" s="16"/>
      <c r="D1100" s="16"/>
      <c r="E1100" s="16"/>
      <c r="F1100" s="16"/>
      <c r="G1100" s="17"/>
      <c r="H1100" s="17"/>
      <c r="I1100" s="17"/>
      <c r="J1100" s="17"/>
      <c r="K1100" s="17"/>
      <c r="L1100" s="18" t="s">
        <v>1516</v>
      </c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</row>
    <row r="1101" spans="1:80" ht="16.149999999999999" customHeight="1" x14ac:dyDescent="0.25">
      <c r="A1101" s="16"/>
      <c r="B1101" s="16"/>
      <c r="C1101" s="16"/>
      <c r="D1101" s="16"/>
      <c r="E1101" s="16"/>
      <c r="F1101" s="16"/>
      <c r="G1101" s="17"/>
      <c r="H1101" s="17"/>
      <c r="I1101" s="17"/>
      <c r="J1101" s="17"/>
      <c r="K1101" s="17"/>
      <c r="L1101" s="18" t="s">
        <v>1517</v>
      </c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6"/>
      <c r="AW1101" s="16"/>
      <c r="AX1101" s="16"/>
      <c r="AY1101" s="16"/>
      <c r="AZ1101" s="16"/>
      <c r="BA1101" s="16"/>
      <c r="BB1101" s="16"/>
      <c r="BC1101" s="16"/>
      <c r="BD1101" s="16"/>
      <c r="BE1101" s="16"/>
      <c r="BF1101" s="16"/>
      <c r="BG1101" s="16"/>
      <c r="BH1101" s="16"/>
      <c r="BI1101" s="16"/>
      <c r="BJ1101" s="16"/>
      <c r="BK1101" s="16"/>
      <c r="BL1101" s="16"/>
      <c r="BM1101" s="16"/>
      <c r="BN1101" s="16"/>
      <c r="BO1101" s="16"/>
      <c r="BP1101" s="16"/>
      <c r="BQ1101" s="16"/>
      <c r="BR1101" s="16"/>
      <c r="BS1101" s="16"/>
      <c r="BT1101" s="16"/>
      <c r="BU1101" s="16"/>
      <c r="BV1101" s="16"/>
      <c r="BW1101" s="16"/>
      <c r="BX1101" s="16"/>
      <c r="BY1101" s="16"/>
      <c r="BZ1101" s="16"/>
      <c r="CA1101" s="16"/>
      <c r="CB1101" s="16"/>
    </row>
    <row r="1102" spans="1:80" ht="16.149999999999999" customHeight="1" x14ac:dyDescent="0.25">
      <c r="A1102" s="16"/>
      <c r="B1102" s="16"/>
      <c r="C1102" s="16"/>
      <c r="D1102" s="16"/>
      <c r="E1102" s="16"/>
      <c r="F1102" s="16"/>
      <c r="G1102" s="17"/>
      <c r="H1102" s="17"/>
      <c r="I1102" s="17"/>
      <c r="J1102" s="17"/>
      <c r="K1102" s="17"/>
      <c r="L1102" s="18" t="s">
        <v>1518</v>
      </c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</row>
    <row r="1103" spans="1:80" ht="16.149999999999999" customHeight="1" x14ac:dyDescent="0.25">
      <c r="A1103" s="16"/>
      <c r="B1103" s="16"/>
      <c r="C1103" s="16"/>
      <c r="D1103" s="16"/>
      <c r="E1103" s="16"/>
      <c r="F1103" s="16"/>
      <c r="G1103" s="17"/>
      <c r="H1103" s="17"/>
      <c r="I1103" s="17"/>
      <c r="J1103" s="17"/>
      <c r="K1103" s="17"/>
      <c r="L1103" s="18" t="s">
        <v>1519</v>
      </c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6"/>
      <c r="AW1103" s="16"/>
      <c r="AX1103" s="16"/>
      <c r="AY1103" s="16"/>
      <c r="AZ1103" s="16"/>
      <c r="BA1103" s="16"/>
      <c r="BB1103" s="16"/>
      <c r="BC1103" s="16"/>
      <c r="BD1103" s="16"/>
      <c r="BE1103" s="16"/>
      <c r="BF1103" s="16"/>
      <c r="BG1103" s="16"/>
      <c r="BH1103" s="16"/>
      <c r="BI1103" s="16"/>
      <c r="BJ1103" s="16"/>
      <c r="BK1103" s="16"/>
      <c r="BL1103" s="16"/>
      <c r="BM1103" s="16"/>
      <c r="BN1103" s="16"/>
      <c r="BO1103" s="16"/>
      <c r="BP1103" s="16"/>
      <c r="BQ1103" s="16"/>
      <c r="BR1103" s="16"/>
      <c r="BS1103" s="16"/>
      <c r="BT1103" s="16"/>
      <c r="BU1103" s="16"/>
      <c r="BV1103" s="16"/>
      <c r="BW1103" s="16"/>
      <c r="BX1103" s="16"/>
      <c r="BY1103" s="16"/>
      <c r="BZ1103" s="16"/>
      <c r="CA1103" s="16"/>
      <c r="CB1103" s="16"/>
    </row>
    <row r="1104" spans="1:80" ht="16.149999999999999" customHeight="1" x14ac:dyDescent="0.25">
      <c r="A1104" s="16"/>
      <c r="B1104" s="16"/>
      <c r="C1104" s="16"/>
      <c r="D1104" s="16"/>
      <c r="E1104" s="16"/>
      <c r="F1104" s="16"/>
      <c r="G1104" s="17"/>
      <c r="H1104" s="17"/>
      <c r="I1104" s="17"/>
      <c r="J1104" s="17"/>
      <c r="K1104" s="17"/>
      <c r="L1104" s="18" t="s">
        <v>1520</v>
      </c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</row>
    <row r="1105" spans="1:80" ht="16.149999999999999" customHeight="1" x14ac:dyDescent="0.25">
      <c r="A1105" s="16"/>
      <c r="B1105" s="16"/>
      <c r="C1105" s="16"/>
      <c r="D1105" s="16"/>
      <c r="E1105" s="16"/>
      <c r="F1105" s="16"/>
      <c r="G1105" s="17"/>
      <c r="H1105" s="17"/>
      <c r="I1105" s="17"/>
      <c r="J1105" s="17"/>
      <c r="K1105" s="17"/>
      <c r="L1105" s="18" t="s">
        <v>1521</v>
      </c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6"/>
      <c r="AW1105" s="16"/>
      <c r="AX1105" s="16"/>
      <c r="AY1105" s="16"/>
      <c r="AZ1105" s="16"/>
      <c r="BA1105" s="16"/>
      <c r="BB1105" s="16"/>
      <c r="BC1105" s="16"/>
      <c r="BD1105" s="16"/>
      <c r="BE1105" s="16"/>
      <c r="BF1105" s="16"/>
      <c r="BG1105" s="16"/>
      <c r="BH1105" s="16"/>
      <c r="BI1105" s="16"/>
      <c r="BJ1105" s="16"/>
      <c r="BK1105" s="16"/>
      <c r="BL1105" s="16"/>
      <c r="BM1105" s="16"/>
      <c r="BN1105" s="16"/>
      <c r="BO1105" s="16"/>
      <c r="BP1105" s="16"/>
      <c r="BQ1105" s="16"/>
      <c r="BR1105" s="16"/>
      <c r="BS1105" s="16"/>
      <c r="BT1105" s="16"/>
      <c r="BU1105" s="16"/>
      <c r="BV1105" s="16"/>
      <c r="BW1105" s="16"/>
      <c r="BX1105" s="16"/>
      <c r="BY1105" s="16"/>
      <c r="BZ1105" s="16"/>
      <c r="CA1105" s="16"/>
      <c r="CB1105" s="16"/>
    </row>
    <row r="1106" spans="1:80" ht="16.149999999999999" customHeight="1" x14ac:dyDescent="0.25">
      <c r="A1106" s="16"/>
      <c r="B1106" s="16"/>
      <c r="C1106" s="16"/>
      <c r="D1106" s="16"/>
      <c r="E1106" s="16"/>
      <c r="F1106" s="16"/>
      <c r="G1106" s="17"/>
      <c r="H1106" s="17"/>
      <c r="I1106" s="17"/>
      <c r="J1106" s="17"/>
      <c r="K1106" s="17"/>
      <c r="L1106" s="18" t="s">
        <v>1522</v>
      </c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6"/>
      <c r="AW1106" s="16"/>
      <c r="AX1106" s="16"/>
      <c r="AY1106" s="16"/>
      <c r="AZ1106" s="16"/>
      <c r="BA1106" s="16"/>
      <c r="BB1106" s="16"/>
      <c r="BC1106" s="16"/>
      <c r="BD1106" s="16"/>
      <c r="BE1106" s="16"/>
      <c r="BF1106" s="16"/>
      <c r="BG1106" s="16"/>
      <c r="BH1106" s="16"/>
      <c r="BI1106" s="16"/>
      <c r="BJ1106" s="16"/>
      <c r="BK1106" s="16"/>
      <c r="BL1106" s="16"/>
      <c r="BM1106" s="16"/>
      <c r="BN1106" s="16"/>
      <c r="BO1106" s="16"/>
      <c r="BP1106" s="16"/>
      <c r="BQ1106" s="16"/>
      <c r="BR1106" s="16"/>
      <c r="BS1106" s="16"/>
      <c r="BT1106" s="16"/>
      <c r="BU1106" s="16"/>
      <c r="BV1106" s="16"/>
      <c r="BW1106" s="16"/>
      <c r="BX1106" s="16"/>
      <c r="BY1106" s="16"/>
      <c r="BZ1106" s="16"/>
      <c r="CA1106" s="16"/>
      <c r="CB1106" s="16"/>
    </row>
    <row r="1107" spans="1:80" ht="16.149999999999999" customHeight="1" x14ac:dyDescent="0.25">
      <c r="A1107" s="16"/>
      <c r="B1107" s="16"/>
      <c r="C1107" s="16"/>
      <c r="D1107" s="16"/>
      <c r="E1107" s="16"/>
      <c r="F1107" s="16"/>
      <c r="G1107" s="17"/>
      <c r="H1107" s="17"/>
      <c r="I1107" s="17"/>
      <c r="J1107" s="17"/>
      <c r="K1107" s="17"/>
      <c r="L1107" s="18" t="s">
        <v>1523</v>
      </c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</row>
    <row r="1108" spans="1:80" ht="16.149999999999999" customHeight="1" x14ac:dyDescent="0.25">
      <c r="A1108" s="16"/>
      <c r="B1108" s="16"/>
      <c r="C1108" s="16"/>
      <c r="D1108" s="16"/>
      <c r="E1108" s="16"/>
      <c r="F1108" s="16"/>
      <c r="G1108" s="17"/>
      <c r="H1108" s="17"/>
      <c r="I1108" s="17"/>
      <c r="J1108" s="17"/>
      <c r="K1108" s="17"/>
      <c r="L1108" s="18" t="s">
        <v>1524</v>
      </c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6"/>
      <c r="AW1108" s="16"/>
      <c r="AX1108" s="16"/>
      <c r="AY1108" s="16"/>
      <c r="AZ1108" s="16"/>
      <c r="BA1108" s="16"/>
      <c r="BB1108" s="16"/>
      <c r="BC1108" s="16"/>
      <c r="BD1108" s="16"/>
      <c r="BE1108" s="16"/>
      <c r="BF1108" s="16"/>
      <c r="BG1108" s="16"/>
      <c r="BH1108" s="16"/>
      <c r="BI1108" s="16"/>
      <c r="BJ1108" s="16"/>
      <c r="BK1108" s="16"/>
      <c r="BL1108" s="16"/>
      <c r="BM1108" s="16"/>
      <c r="BN1108" s="16"/>
      <c r="BO1108" s="16"/>
      <c r="BP1108" s="16"/>
      <c r="BQ1108" s="16"/>
      <c r="BR1108" s="16"/>
      <c r="BS1108" s="16"/>
      <c r="BT1108" s="16"/>
      <c r="BU1108" s="16"/>
      <c r="BV1108" s="16"/>
      <c r="BW1108" s="16"/>
      <c r="BX1108" s="16"/>
      <c r="BY1108" s="16"/>
      <c r="BZ1108" s="16"/>
      <c r="CA1108" s="16"/>
      <c r="CB1108" s="16"/>
    </row>
    <row r="1109" spans="1:80" ht="16.149999999999999" customHeight="1" x14ac:dyDescent="0.25">
      <c r="A1109" s="16"/>
      <c r="B1109" s="16"/>
      <c r="C1109" s="16"/>
      <c r="D1109" s="16"/>
      <c r="E1109" s="16"/>
      <c r="F1109" s="16"/>
      <c r="G1109" s="17"/>
      <c r="H1109" s="17"/>
      <c r="I1109" s="17"/>
      <c r="J1109" s="17"/>
      <c r="K1109" s="17"/>
      <c r="L1109" s="18" t="s">
        <v>1525</v>
      </c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</row>
    <row r="1110" spans="1:80" ht="16.149999999999999" customHeight="1" x14ac:dyDescent="0.25">
      <c r="A1110" s="16"/>
      <c r="B1110" s="16"/>
      <c r="C1110" s="16"/>
      <c r="D1110" s="16"/>
      <c r="E1110" s="16"/>
      <c r="F1110" s="16"/>
      <c r="G1110" s="17"/>
      <c r="H1110" s="17"/>
      <c r="I1110" s="17"/>
      <c r="J1110" s="17"/>
      <c r="K1110" s="17"/>
      <c r="L1110" s="18" t="s">
        <v>1526</v>
      </c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6"/>
      <c r="AW1110" s="16"/>
      <c r="AX1110" s="16"/>
      <c r="AY1110" s="16"/>
      <c r="AZ1110" s="16"/>
      <c r="BA1110" s="16"/>
      <c r="BB1110" s="16"/>
      <c r="BC1110" s="16"/>
      <c r="BD1110" s="16"/>
      <c r="BE1110" s="16"/>
      <c r="BF1110" s="16"/>
      <c r="BG1110" s="16"/>
      <c r="BH1110" s="16"/>
      <c r="BI1110" s="16"/>
      <c r="BJ1110" s="16"/>
      <c r="BK1110" s="16"/>
      <c r="BL1110" s="16"/>
      <c r="BM1110" s="16"/>
      <c r="BN1110" s="16"/>
      <c r="BO1110" s="16"/>
      <c r="BP1110" s="16"/>
      <c r="BQ1110" s="16"/>
      <c r="BR1110" s="16"/>
      <c r="BS1110" s="16"/>
      <c r="BT1110" s="16"/>
      <c r="BU1110" s="16"/>
      <c r="BV1110" s="16"/>
      <c r="BW1110" s="16"/>
      <c r="BX1110" s="16"/>
      <c r="BY1110" s="16"/>
      <c r="BZ1110" s="16"/>
      <c r="CA1110" s="16"/>
      <c r="CB1110" s="16"/>
    </row>
    <row r="1111" spans="1:80" ht="16.149999999999999" customHeight="1" x14ac:dyDescent="0.25">
      <c r="A1111" s="16"/>
      <c r="B1111" s="16"/>
      <c r="C1111" s="16"/>
      <c r="D1111" s="16"/>
      <c r="E1111" s="16"/>
      <c r="F1111" s="16"/>
      <c r="G1111" s="17"/>
      <c r="H1111" s="17"/>
      <c r="I1111" s="17"/>
      <c r="J1111" s="17"/>
      <c r="K1111" s="17"/>
      <c r="L1111" s="18" t="s">
        <v>1527</v>
      </c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</row>
    <row r="1112" spans="1:80" ht="16.149999999999999" customHeight="1" x14ac:dyDescent="0.25">
      <c r="A1112" s="16"/>
      <c r="B1112" s="16"/>
      <c r="C1112" s="16"/>
      <c r="D1112" s="16"/>
      <c r="E1112" s="16"/>
      <c r="F1112" s="16"/>
      <c r="G1112" s="17"/>
      <c r="H1112" s="17"/>
      <c r="I1112" s="17"/>
      <c r="J1112" s="17"/>
      <c r="K1112" s="17"/>
      <c r="L1112" s="18" t="s">
        <v>1528</v>
      </c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6"/>
      <c r="AW1112" s="16"/>
      <c r="AX1112" s="16"/>
      <c r="AY1112" s="16"/>
      <c r="AZ1112" s="16"/>
      <c r="BA1112" s="16"/>
      <c r="BB1112" s="16"/>
      <c r="BC1112" s="16"/>
      <c r="BD1112" s="16"/>
      <c r="BE1112" s="16"/>
      <c r="BF1112" s="16"/>
      <c r="BG1112" s="16"/>
      <c r="BH1112" s="16"/>
      <c r="BI1112" s="16"/>
      <c r="BJ1112" s="16"/>
      <c r="BK1112" s="16"/>
      <c r="BL1112" s="16"/>
      <c r="BM1112" s="16"/>
      <c r="BN1112" s="16"/>
      <c r="BO1112" s="16"/>
      <c r="BP1112" s="16"/>
      <c r="BQ1112" s="16"/>
      <c r="BR1112" s="16"/>
      <c r="BS1112" s="16"/>
      <c r="BT1112" s="16"/>
      <c r="BU1112" s="16"/>
      <c r="BV1112" s="16"/>
      <c r="BW1112" s="16"/>
      <c r="BX1112" s="16"/>
      <c r="BY1112" s="16"/>
      <c r="BZ1112" s="16"/>
      <c r="CA1112" s="16"/>
      <c r="CB1112" s="16"/>
    </row>
    <row r="1113" spans="1:80" ht="16.149999999999999" customHeight="1" x14ac:dyDescent="0.25">
      <c r="A1113" s="16"/>
      <c r="B1113" s="16"/>
      <c r="C1113" s="16"/>
      <c r="D1113" s="16"/>
      <c r="E1113" s="16"/>
      <c r="F1113" s="16"/>
      <c r="G1113" s="17"/>
      <c r="H1113" s="17"/>
      <c r="I1113" s="17"/>
      <c r="J1113" s="17"/>
      <c r="K1113" s="17"/>
      <c r="L1113" s="18" t="s">
        <v>1529</v>
      </c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</row>
    <row r="1114" spans="1:80" ht="16.149999999999999" customHeight="1" x14ac:dyDescent="0.25">
      <c r="A1114" s="16"/>
      <c r="B1114" s="16"/>
      <c r="C1114" s="16"/>
      <c r="D1114" s="16"/>
      <c r="E1114" s="16"/>
      <c r="F1114" s="16"/>
      <c r="G1114" s="17"/>
      <c r="H1114" s="17"/>
      <c r="I1114" s="17"/>
      <c r="J1114" s="17"/>
      <c r="K1114" s="17"/>
      <c r="L1114" s="18" t="s">
        <v>1530</v>
      </c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6"/>
      <c r="AW1114" s="16"/>
      <c r="AX1114" s="16"/>
      <c r="AY1114" s="16"/>
      <c r="AZ1114" s="16"/>
      <c r="BA1114" s="16"/>
      <c r="BB1114" s="16"/>
      <c r="BC1114" s="16"/>
      <c r="BD1114" s="16"/>
      <c r="BE1114" s="16"/>
      <c r="BF1114" s="16"/>
      <c r="BG1114" s="16"/>
      <c r="BH1114" s="16"/>
      <c r="BI1114" s="16"/>
      <c r="BJ1114" s="16"/>
      <c r="BK1114" s="16"/>
      <c r="BL1114" s="16"/>
      <c r="BM1114" s="16"/>
      <c r="BN1114" s="16"/>
      <c r="BO1114" s="16"/>
      <c r="BP1114" s="16"/>
      <c r="BQ1114" s="16"/>
      <c r="BR1114" s="16"/>
      <c r="BS1114" s="16"/>
      <c r="BT1114" s="16"/>
      <c r="BU1114" s="16"/>
      <c r="BV1114" s="16"/>
      <c r="BW1114" s="16"/>
      <c r="BX1114" s="16"/>
      <c r="BY1114" s="16"/>
      <c r="BZ1114" s="16"/>
      <c r="CA1114" s="16"/>
      <c r="CB1114" s="16"/>
    </row>
    <row r="1115" spans="1:80" ht="16.149999999999999" customHeight="1" x14ac:dyDescent="0.25">
      <c r="A1115" s="16"/>
      <c r="B1115" s="16"/>
      <c r="C1115" s="16"/>
      <c r="D1115" s="16"/>
      <c r="E1115" s="16"/>
      <c r="F1115" s="16"/>
      <c r="G1115" s="17"/>
      <c r="H1115" s="17"/>
      <c r="I1115" s="17"/>
      <c r="J1115" s="17"/>
      <c r="K1115" s="17"/>
      <c r="L1115" s="18" t="s">
        <v>1531</v>
      </c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</row>
    <row r="1116" spans="1:80" ht="16.149999999999999" customHeight="1" x14ac:dyDescent="0.25">
      <c r="A1116" s="16"/>
      <c r="B1116" s="16"/>
      <c r="C1116" s="16"/>
      <c r="D1116" s="16"/>
      <c r="E1116" s="16"/>
      <c r="F1116" s="16"/>
      <c r="G1116" s="17"/>
      <c r="H1116" s="17"/>
      <c r="I1116" s="17"/>
      <c r="J1116" s="17"/>
      <c r="K1116" s="17"/>
      <c r="L1116" s="18" t="s">
        <v>1532</v>
      </c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6"/>
      <c r="AW1116" s="16"/>
      <c r="AX1116" s="16"/>
      <c r="AY1116" s="16"/>
      <c r="AZ1116" s="16"/>
      <c r="BA1116" s="16"/>
      <c r="BB1116" s="16"/>
      <c r="BC1116" s="16"/>
      <c r="BD1116" s="16"/>
      <c r="BE1116" s="16"/>
      <c r="BF1116" s="16"/>
      <c r="BG1116" s="16"/>
      <c r="BH1116" s="16"/>
      <c r="BI1116" s="16"/>
      <c r="BJ1116" s="16"/>
      <c r="BK1116" s="16"/>
      <c r="BL1116" s="16"/>
      <c r="BM1116" s="16"/>
      <c r="BN1116" s="16"/>
      <c r="BO1116" s="16"/>
      <c r="BP1116" s="16"/>
      <c r="BQ1116" s="16"/>
      <c r="BR1116" s="16"/>
      <c r="BS1116" s="16"/>
      <c r="BT1116" s="16"/>
      <c r="BU1116" s="16"/>
      <c r="BV1116" s="16"/>
      <c r="BW1116" s="16"/>
      <c r="BX1116" s="16"/>
      <c r="BY1116" s="16"/>
      <c r="BZ1116" s="16"/>
      <c r="CA1116" s="16"/>
      <c r="CB1116" s="16"/>
    </row>
    <row r="1117" spans="1:80" ht="16.149999999999999" customHeight="1" x14ac:dyDescent="0.25">
      <c r="A1117" s="16"/>
      <c r="B1117" s="16"/>
      <c r="C1117" s="16"/>
      <c r="D1117" s="16"/>
      <c r="E1117" s="16"/>
      <c r="F1117" s="16"/>
      <c r="G1117" s="17"/>
      <c r="H1117" s="17"/>
      <c r="I1117" s="17"/>
      <c r="J1117" s="17"/>
      <c r="K1117" s="17"/>
      <c r="L1117" s="18" t="s">
        <v>1533</v>
      </c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</row>
    <row r="1118" spans="1:80" ht="16.149999999999999" customHeight="1" x14ac:dyDescent="0.25">
      <c r="A1118" s="16"/>
      <c r="B1118" s="16"/>
      <c r="C1118" s="16"/>
      <c r="D1118" s="16"/>
      <c r="E1118" s="16"/>
      <c r="F1118" s="16"/>
      <c r="G1118" s="17"/>
      <c r="H1118" s="17"/>
      <c r="I1118" s="17"/>
      <c r="J1118" s="17"/>
      <c r="K1118" s="17"/>
      <c r="L1118" s="18" t="s">
        <v>1534</v>
      </c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6"/>
      <c r="AW1118" s="16"/>
      <c r="AX1118" s="16"/>
      <c r="AY1118" s="16"/>
      <c r="AZ1118" s="16"/>
      <c r="BA1118" s="16"/>
      <c r="BB1118" s="16"/>
      <c r="BC1118" s="16"/>
      <c r="BD1118" s="16"/>
      <c r="BE1118" s="16"/>
      <c r="BF1118" s="16"/>
      <c r="BG1118" s="16"/>
      <c r="BH1118" s="16"/>
      <c r="BI1118" s="16"/>
      <c r="BJ1118" s="16"/>
      <c r="BK1118" s="16"/>
      <c r="BL1118" s="16"/>
      <c r="BM1118" s="16"/>
      <c r="BN1118" s="16"/>
      <c r="BO1118" s="16"/>
      <c r="BP1118" s="16"/>
      <c r="BQ1118" s="16"/>
      <c r="BR1118" s="16"/>
      <c r="BS1118" s="16"/>
      <c r="BT1118" s="16"/>
      <c r="BU1118" s="16"/>
      <c r="BV1118" s="16"/>
      <c r="BW1118" s="16"/>
      <c r="BX1118" s="16"/>
      <c r="BY1118" s="16"/>
      <c r="BZ1118" s="16"/>
      <c r="CA1118" s="16"/>
      <c r="CB1118" s="16"/>
    </row>
    <row r="1119" spans="1:80" ht="16.149999999999999" customHeight="1" x14ac:dyDescent="0.25">
      <c r="A1119" s="16"/>
      <c r="B1119" s="16"/>
      <c r="C1119" s="16"/>
      <c r="D1119" s="16"/>
      <c r="E1119" s="16"/>
      <c r="F1119" s="16"/>
      <c r="G1119" s="17"/>
      <c r="H1119" s="17"/>
      <c r="I1119" s="17"/>
      <c r="J1119" s="17"/>
      <c r="K1119" s="17"/>
      <c r="L1119" s="18" t="s">
        <v>1535</v>
      </c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</row>
    <row r="1120" spans="1:80" ht="16.149999999999999" customHeight="1" x14ac:dyDescent="0.25">
      <c r="A1120" s="16"/>
      <c r="B1120" s="16"/>
      <c r="C1120" s="16"/>
      <c r="D1120" s="16"/>
      <c r="E1120" s="16"/>
      <c r="F1120" s="16"/>
      <c r="G1120" s="17"/>
      <c r="H1120" s="17"/>
      <c r="I1120" s="17"/>
      <c r="J1120" s="17"/>
      <c r="K1120" s="17"/>
      <c r="L1120" s="18" t="s">
        <v>1536</v>
      </c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6"/>
      <c r="AW1120" s="16"/>
      <c r="AX1120" s="16"/>
      <c r="AY1120" s="16"/>
      <c r="AZ1120" s="16"/>
      <c r="BA1120" s="16"/>
      <c r="BB1120" s="16"/>
      <c r="BC1120" s="16"/>
      <c r="BD1120" s="16"/>
      <c r="BE1120" s="16"/>
      <c r="BF1120" s="16"/>
      <c r="BG1120" s="16"/>
      <c r="BH1120" s="16"/>
      <c r="BI1120" s="16"/>
      <c r="BJ1120" s="16"/>
      <c r="BK1120" s="16"/>
      <c r="BL1120" s="16"/>
      <c r="BM1120" s="16"/>
      <c r="BN1120" s="16"/>
      <c r="BO1120" s="16"/>
      <c r="BP1120" s="16"/>
      <c r="BQ1120" s="16"/>
      <c r="BR1120" s="16"/>
      <c r="BS1120" s="16"/>
      <c r="BT1120" s="16"/>
      <c r="BU1120" s="16"/>
      <c r="BV1120" s="16"/>
      <c r="BW1120" s="16"/>
      <c r="BX1120" s="16"/>
      <c r="BY1120" s="16"/>
      <c r="BZ1120" s="16"/>
      <c r="CA1120" s="16"/>
      <c r="CB1120" s="16"/>
    </row>
    <row r="1121" spans="1:80" ht="16.149999999999999" customHeight="1" x14ac:dyDescent="0.25">
      <c r="A1121" s="16"/>
      <c r="B1121" s="16"/>
      <c r="C1121" s="16"/>
      <c r="D1121" s="16"/>
      <c r="E1121" s="16"/>
      <c r="F1121" s="16"/>
      <c r="G1121" s="17"/>
      <c r="H1121" s="17"/>
      <c r="I1121" s="17"/>
      <c r="J1121" s="17"/>
      <c r="K1121" s="17"/>
      <c r="L1121" s="18" t="s">
        <v>1537</v>
      </c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</row>
    <row r="1122" spans="1:80" ht="16.149999999999999" customHeight="1" x14ac:dyDescent="0.25">
      <c r="A1122" s="16"/>
      <c r="B1122" s="16"/>
      <c r="C1122" s="16"/>
      <c r="D1122" s="16"/>
      <c r="E1122" s="16"/>
      <c r="F1122" s="16"/>
      <c r="G1122" s="17"/>
      <c r="H1122" s="17"/>
      <c r="I1122" s="17"/>
      <c r="J1122" s="17"/>
      <c r="K1122" s="17"/>
      <c r="L1122" s="18" t="s">
        <v>1538</v>
      </c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  <c r="BU1122" s="16"/>
      <c r="BV1122" s="16"/>
      <c r="BW1122" s="16"/>
      <c r="BX1122" s="16"/>
      <c r="BY1122" s="16"/>
      <c r="BZ1122" s="16"/>
      <c r="CA1122" s="16"/>
      <c r="CB1122" s="16"/>
    </row>
    <row r="1123" spans="1:80" ht="16.149999999999999" customHeight="1" x14ac:dyDescent="0.25">
      <c r="A1123" s="16"/>
      <c r="B1123" s="16"/>
      <c r="C1123" s="16"/>
      <c r="D1123" s="16"/>
      <c r="E1123" s="16"/>
      <c r="F1123" s="16"/>
      <c r="G1123" s="17"/>
      <c r="H1123" s="17"/>
      <c r="I1123" s="17"/>
      <c r="J1123" s="17"/>
      <c r="K1123" s="17"/>
      <c r="L1123" s="18" t="s">
        <v>1539</v>
      </c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</row>
    <row r="1124" spans="1:80" ht="16.149999999999999" customHeight="1" x14ac:dyDescent="0.25">
      <c r="A1124" s="16"/>
      <c r="B1124" s="16"/>
      <c r="C1124" s="16"/>
      <c r="D1124" s="16"/>
      <c r="E1124" s="16"/>
      <c r="F1124" s="16"/>
      <c r="G1124" s="17"/>
      <c r="H1124" s="17"/>
      <c r="I1124" s="17"/>
      <c r="J1124" s="17"/>
      <c r="K1124" s="17"/>
      <c r="L1124" s="18" t="s">
        <v>1540</v>
      </c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  <c r="BU1124" s="16"/>
      <c r="BV1124" s="16"/>
      <c r="BW1124" s="16"/>
      <c r="BX1124" s="16"/>
      <c r="BY1124" s="16"/>
      <c r="BZ1124" s="16"/>
      <c r="CA1124" s="16"/>
      <c r="CB1124" s="16"/>
    </row>
    <row r="1125" spans="1:80" ht="16.149999999999999" customHeight="1" x14ac:dyDescent="0.25">
      <c r="A1125" s="16"/>
      <c r="B1125" s="16"/>
      <c r="C1125" s="16"/>
      <c r="D1125" s="16"/>
      <c r="E1125" s="16"/>
      <c r="F1125" s="16"/>
      <c r="G1125" s="17"/>
      <c r="H1125" s="17"/>
      <c r="I1125" s="17"/>
      <c r="J1125" s="17"/>
      <c r="K1125" s="17"/>
      <c r="L1125" s="18" t="s">
        <v>1541</v>
      </c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</row>
    <row r="1126" spans="1:80" ht="16.149999999999999" customHeight="1" x14ac:dyDescent="0.25">
      <c r="A1126" s="16"/>
      <c r="B1126" s="16"/>
      <c r="C1126" s="16"/>
      <c r="D1126" s="16"/>
      <c r="E1126" s="16"/>
      <c r="F1126" s="16"/>
      <c r="G1126" s="17"/>
      <c r="H1126" s="17"/>
      <c r="I1126" s="17"/>
      <c r="J1126" s="17"/>
      <c r="K1126" s="17"/>
      <c r="L1126" s="18" t="s">
        <v>1542</v>
      </c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  <c r="BU1126" s="16"/>
      <c r="BV1126" s="16"/>
      <c r="BW1126" s="16"/>
      <c r="BX1126" s="16"/>
      <c r="BY1126" s="16"/>
      <c r="BZ1126" s="16"/>
      <c r="CA1126" s="16"/>
      <c r="CB1126" s="16"/>
    </row>
    <row r="1127" spans="1:80" ht="16.149999999999999" customHeight="1" x14ac:dyDescent="0.25">
      <c r="A1127" s="16"/>
      <c r="B1127" s="16"/>
      <c r="C1127" s="16"/>
      <c r="D1127" s="16"/>
      <c r="E1127" s="16"/>
      <c r="F1127" s="16"/>
      <c r="G1127" s="17"/>
      <c r="H1127" s="17"/>
      <c r="I1127" s="17"/>
      <c r="J1127" s="17"/>
      <c r="K1127" s="17"/>
      <c r="L1127" s="18" t="s">
        <v>1543</v>
      </c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</row>
    <row r="1128" spans="1:80" ht="16.149999999999999" customHeight="1" x14ac:dyDescent="0.25">
      <c r="A1128" s="16"/>
      <c r="B1128" s="16"/>
      <c r="C1128" s="16"/>
      <c r="D1128" s="16"/>
      <c r="E1128" s="16"/>
      <c r="F1128" s="16"/>
      <c r="G1128" s="17"/>
      <c r="H1128" s="17"/>
      <c r="I1128" s="17"/>
      <c r="J1128" s="17"/>
      <c r="K1128" s="17"/>
      <c r="L1128" s="18" t="s">
        <v>1544</v>
      </c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  <c r="BU1128" s="16"/>
      <c r="BV1128" s="16"/>
      <c r="BW1128" s="16"/>
      <c r="BX1128" s="16"/>
      <c r="BY1128" s="16"/>
      <c r="BZ1128" s="16"/>
      <c r="CA1128" s="16"/>
      <c r="CB1128" s="16"/>
    </row>
    <row r="1129" spans="1:80" ht="16.149999999999999" customHeight="1" x14ac:dyDescent="0.25">
      <c r="A1129" s="16"/>
      <c r="B1129" s="16"/>
      <c r="C1129" s="16"/>
      <c r="D1129" s="16"/>
      <c r="E1129" s="16"/>
      <c r="F1129" s="16"/>
      <c r="G1129" s="17"/>
      <c r="H1129" s="17"/>
      <c r="I1129" s="17"/>
      <c r="J1129" s="17"/>
      <c r="K1129" s="17"/>
      <c r="L1129" s="18" t="s">
        <v>1545</v>
      </c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</row>
    <row r="1130" spans="1:80" ht="16.149999999999999" customHeight="1" x14ac:dyDescent="0.25">
      <c r="A1130" s="16"/>
      <c r="B1130" s="16"/>
      <c r="C1130" s="16"/>
      <c r="D1130" s="16"/>
      <c r="E1130" s="16"/>
      <c r="F1130" s="16"/>
      <c r="G1130" s="17"/>
      <c r="H1130" s="17"/>
      <c r="I1130" s="17"/>
      <c r="J1130" s="17"/>
      <c r="K1130" s="17"/>
      <c r="L1130" s="18" t="s">
        <v>1546</v>
      </c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  <c r="BU1130" s="16"/>
      <c r="BV1130" s="16"/>
      <c r="BW1130" s="16"/>
      <c r="BX1130" s="16"/>
      <c r="BY1130" s="16"/>
      <c r="BZ1130" s="16"/>
      <c r="CA1130" s="16"/>
      <c r="CB1130" s="16"/>
    </row>
    <row r="1131" spans="1:80" ht="16.149999999999999" customHeight="1" x14ac:dyDescent="0.25">
      <c r="A1131" s="16"/>
      <c r="B1131" s="16"/>
      <c r="C1131" s="16"/>
      <c r="D1131" s="16"/>
      <c r="E1131" s="16"/>
      <c r="F1131" s="16"/>
      <c r="G1131" s="17"/>
      <c r="H1131" s="17"/>
      <c r="I1131" s="17"/>
      <c r="J1131" s="17"/>
      <c r="K1131" s="17"/>
      <c r="L1131" s="18" t="s">
        <v>1547</v>
      </c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</row>
    <row r="1132" spans="1:80" ht="16.149999999999999" customHeight="1" x14ac:dyDescent="0.25">
      <c r="A1132" s="16"/>
      <c r="B1132" s="16"/>
      <c r="C1132" s="16"/>
      <c r="D1132" s="16"/>
      <c r="E1132" s="16"/>
      <c r="F1132" s="16"/>
      <c r="G1132" s="17"/>
      <c r="H1132" s="17"/>
      <c r="I1132" s="17"/>
      <c r="J1132" s="17"/>
      <c r="K1132" s="17"/>
      <c r="L1132" s="18" t="s">
        <v>1548</v>
      </c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  <c r="BU1132" s="16"/>
      <c r="BV1132" s="16"/>
      <c r="BW1132" s="16"/>
      <c r="BX1132" s="16"/>
      <c r="BY1132" s="16"/>
      <c r="BZ1132" s="16"/>
      <c r="CA1132" s="16"/>
      <c r="CB1132" s="16"/>
    </row>
    <row r="1133" spans="1:80" ht="16.149999999999999" customHeight="1" x14ac:dyDescent="0.25">
      <c r="A1133" s="16"/>
      <c r="B1133" s="16"/>
      <c r="C1133" s="16"/>
      <c r="D1133" s="16"/>
      <c r="E1133" s="16"/>
      <c r="F1133" s="16"/>
      <c r="G1133" s="17"/>
      <c r="H1133" s="17"/>
      <c r="I1133" s="17"/>
      <c r="J1133" s="17"/>
      <c r="K1133" s="17"/>
      <c r="L1133" s="18" t="s">
        <v>1549</v>
      </c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</row>
    <row r="1134" spans="1:80" ht="16.149999999999999" customHeight="1" x14ac:dyDescent="0.25">
      <c r="A1134" s="16"/>
      <c r="B1134" s="16"/>
      <c r="C1134" s="16"/>
      <c r="D1134" s="16"/>
      <c r="E1134" s="16"/>
      <c r="F1134" s="16"/>
      <c r="G1134" s="16"/>
      <c r="H1134" s="16"/>
      <c r="I1134" s="16"/>
      <c r="J1134" s="16"/>
      <c r="K1134" s="16"/>
      <c r="L1134" s="18" t="s">
        <v>1550</v>
      </c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6"/>
      <c r="AW1134" s="17"/>
      <c r="AX1134" s="17"/>
      <c r="AY1134" s="17"/>
      <c r="AZ1134" s="17"/>
      <c r="BA1134" s="17"/>
      <c r="BB1134" s="17"/>
      <c r="BC1134" s="17"/>
      <c r="BD1134" s="17"/>
      <c r="BE1134" s="17"/>
      <c r="BF1134" s="17"/>
      <c r="BG1134" s="17"/>
      <c r="BH1134" s="17"/>
      <c r="BI1134" s="17"/>
      <c r="BJ1134" s="17"/>
      <c r="BK1134" s="17"/>
      <c r="BL1134" s="17"/>
      <c r="BM1134" s="17"/>
      <c r="BN1134" s="17"/>
      <c r="BO1134" s="17"/>
      <c r="BP1134" s="17"/>
      <c r="BQ1134" s="17"/>
      <c r="BR1134" s="17"/>
      <c r="BS1134" s="17"/>
      <c r="BT1134" s="17"/>
      <c r="BU1134" s="17"/>
      <c r="BV1134" s="17"/>
      <c r="BW1134" s="17"/>
      <c r="BX1134" s="17"/>
      <c r="BY1134" s="17"/>
      <c r="BZ1134" s="17"/>
      <c r="CA1134" s="17"/>
      <c r="CB1134" s="17"/>
    </row>
    <row r="1135" spans="1:80" ht="16.149999999999999" customHeight="1" x14ac:dyDescent="0.25">
      <c r="A1135" s="16" t="s">
        <v>121</v>
      </c>
      <c r="B1135" s="16"/>
      <c r="C1135" s="16"/>
      <c r="D1135" s="16"/>
      <c r="E1135" s="16"/>
      <c r="F1135" s="16"/>
      <c r="G1135" s="17"/>
      <c r="H1135" s="17"/>
      <c r="I1135" s="17"/>
      <c r="J1135" s="17"/>
      <c r="K1135" s="17"/>
      <c r="L1135" s="18" t="s">
        <v>1551</v>
      </c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</row>
    <row r="1136" spans="1:80" ht="16.149999999999999" customHeight="1" x14ac:dyDescent="0.25">
      <c r="A1136" s="16"/>
      <c r="B1136" s="16"/>
      <c r="C1136" s="16"/>
      <c r="D1136" s="16"/>
      <c r="E1136" s="16"/>
      <c r="F1136" s="16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  <c r="BU1136" s="16"/>
      <c r="BV1136" s="16"/>
      <c r="BW1136" s="16"/>
      <c r="BX1136" s="16"/>
      <c r="BY1136" s="16"/>
      <c r="BZ1136" s="16"/>
      <c r="CA1136" s="16"/>
      <c r="CB1136" s="16"/>
    </row>
    <row r="1137" spans="1:80" ht="16.149999999999999" customHeight="1" x14ac:dyDescent="0.25">
      <c r="A1137" s="16"/>
      <c r="B1137" s="16"/>
      <c r="C1137" s="16"/>
      <c r="D1137" s="16"/>
      <c r="E1137" s="16"/>
      <c r="F1137" s="16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</row>
    <row r="1138" spans="1:80" ht="16.149999999999999" customHeight="1" x14ac:dyDescent="0.25">
      <c r="A1138" s="16"/>
      <c r="B1138" s="16"/>
      <c r="C1138" s="16"/>
      <c r="D1138" s="16"/>
      <c r="E1138" s="16"/>
      <c r="F1138" s="16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6"/>
      <c r="AW1138" s="16"/>
      <c r="AX1138" s="16"/>
      <c r="AY1138" s="16"/>
      <c r="AZ1138" s="16"/>
      <c r="BA1138" s="16"/>
      <c r="BB1138" s="16"/>
      <c r="BC1138" s="16"/>
      <c r="BD1138" s="16"/>
      <c r="BE1138" s="16"/>
      <c r="BF1138" s="16"/>
      <c r="BG1138" s="16"/>
      <c r="BH1138" s="16"/>
      <c r="BI1138" s="16"/>
      <c r="BJ1138" s="16"/>
      <c r="BK1138" s="16"/>
      <c r="BL1138" s="16"/>
      <c r="BM1138" s="16"/>
      <c r="BN1138" s="16"/>
      <c r="BO1138" s="16"/>
      <c r="BP1138" s="16"/>
      <c r="BQ1138" s="16"/>
      <c r="BR1138" s="16"/>
      <c r="BS1138" s="16"/>
      <c r="BT1138" s="16"/>
      <c r="BU1138" s="16"/>
      <c r="BV1138" s="16"/>
      <c r="BW1138" s="16"/>
      <c r="BX1138" s="16"/>
      <c r="BY1138" s="16"/>
      <c r="BZ1138" s="16"/>
      <c r="CA1138" s="16"/>
      <c r="CB1138" s="16"/>
    </row>
    <row r="1139" spans="1:80" ht="16.149999999999999" customHeight="1" x14ac:dyDescent="0.25">
      <c r="A1139" s="16"/>
      <c r="B1139" s="16"/>
      <c r="C1139" s="16"/>
      <c r="D1139" s="16"/>
      <c r="E1139" s="16"/>
      <c r="F1139" s="16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</row>
    <row r="1140" spans="1:80" ht="16.149999999999999" customHeight="1" x14ac:dyDescent="0.25">
      <c r="A1140" s="16"/>
      <c r="B1140" s="16"/>
      <c r="C1140" s="16"/>
      <c r="D1140" s="16"/>
      <c r="E1140" s="16"/>
      <c r="F1140" s="16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6"/>
      <c r="AW1140" s="16"/>
      <c r="AX1140" s="16"/>
      <c r="AY1140" s="16"/>
      <c r="AZ1140" s="16"/>
      <c r="BA1140" s="16"/>
      <c r="BB1140" s="16"/>
      <c r="BC1140" s="16"/>
      <c r="BD1140" s="16"/>
      <c r="BE1140" s="16"/>
      <c r="BF1140" s="16"/>
      <c r="BG1140" s="16"/>
      <c r="BH1140" s="16"/>
      <c r="BI1140" s="16"/>
      <c r="BJ1140" s="16"/>
      <c r="BK1140" s="16"/>
      <c r="BL1140" s="16"/>
      <c r="BM1140" s="16"/>
      <c r="BN1140" s="16"/>
      <c r="BO1140" s="16"/>
      <c r="BP1140" s="16"/>
      <c r="BQ1140" s="16"/>
      <c r="BR1140" s="16"/>
      <c r="BS1140" s="16"/>
      <c r="BT1140" s="16"/>
      <c r="BU1140" s="16"/>
      <c r="BV1140" s="16"/>
      <c r="BW1140" s="16"/>
      <c r="BX1140" s="16"/>
      <c r="BY1140" s="16"/>
      <c r="BZ1140" s="16"/>
      <c r="CA1140" s="16"/>
      <c r="CB1140" s="16"/>
    </row>
    <row r="1141" spans="1:80" ht="16.149999999999999" customHeight="1" x14ac:dyDescent="0.25">
      <c r="A1141" s="16"/>
      <c r="B1141" s="16"/>
      <c r="C1141" s="16"/>
      <c r="D1141" s="16"/>
      <c r="E1141" s="16"/>
      <c r="F1141" s="16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</row>
    <row r="1142" spans="1:80" ht="16.149999999999999" customHeight="1" x14ac:dyDescent="0.25">
      <c r="A1142" s="16"/>
      <c r="B1142" s="16"/>
      <c r="C1142" s="16"/>
      <c r="D1142" s="16"/>
      <c r="E1142" s="16"/>
      <c r="F1142" s="16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6"/>
      <c r="AW1142" s="16"/>
      <c r="AX1142" s="16"/>
      <c r="AY1142" s="16"/>
      <c r="AZ1142" s="16"/>
      <c r="BA1142" s="16"/>
      <c r="BB1142" s="16"/>
      <c r="BC1142" s="16"/>
      <c r="BD1142" s="16"/>
      <c r="BE1142" s="16"/>
      <c r="BF1142" s="16"/>
      <c r="BG1142" s="16"/>
      <c r="BH1142" s="16"/>
      <c r="BI1142" s="16"/>
      <c r="BJ1142" s="16"/>
      <c r="BK1142" s="16"/>
      <c r="BL1142" s="16"/>
      <c r="BM1142" s="16"/>
      <c r="BN1142" s="16"/>
      <c r="BO1142" s="16"/>
      <c r="BP1142" s="16"/>
      <c r="BQ1142" s="16"/>
      <c r="BR1142" s="16"/>
      <c r="BS1142" s="16"/>
      <c r="BT1142" s="16"/>
      <c r="BU1142" s="16"/>
      <c r="BV1142" s="16"/>
      <c r="BW1142" s="16"/>
      <c r="BX1142" s="16"/>
      <c r="BY1142" s="16"/>
      <c r="BZ1142" s="16"/>
      <c r="CA1142" s="16"/>
      <c r="CB1142" s="16"/>
    </row>
    <row r="1143" spans="1:80" ht="16.149999999999999" customHeight="1" x14ac:dyDescent="0.25">
      <c r="A1143" s="16"/>
      <c r="B1143" s="16"/>
      <c r="C1143" s="16"/>
      <c r="D1143" s="16"/>
      <c r="E1143" s="16"/>
      <c r="F1143" s="16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</row>
    <row r="1144" spans="1:80" ht="16.149999999999999" customHeight="1" x14ac:dyDescent="0.25">
      <c r="A1144" s="16"/>
      <c r="B1144" s="16"/>
      <c r="C1144" s="16"/>
      <c r="D1144" s="16"/>
      <c r="E1144" s="16"/>
      <c r="F1144" s="16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6"/>
      <c r="AW1144" s="16"/>
      <c r="AX1144" s="16"/>
      <c r="AY1144" s="16"/>
      <c r="AZ1144" s="16"/>
      <c r="BA1144" s="16"/>
      <c r="BB1144" s="16"/>
      <c r="BC1144" s="16"/>
      <c r="BD1144" s="16"/>
      <c r="BE1144" s="16"/>
      <c r="BF1144" s="16"/>
      <c r="BG1144" s="16"/>
      <c r="BH1144" s="16"/>
      <c r="BI1144" s="16"/>
      <c r="BJ1144" s="16"/>
      <c r="BK1144" s="16"/>
      <c r="BL1144" s="16"/>
      <c r="BM1144" s="16"/>
      <c r="BN1144" s="16"/>
      <c r="BO1144" s="16"/>
      <c r="BP1144" s="16"/>
      <c r="BQ1144" s="16"/>
      <c r="BR1144" s="16"/>
      <c r="BS1144" s="16"/>
      <c r="BT1144" s="16"/>
      <c r="BU1144" s="16"/>
      <c r="BV1144" s="16"/>
      <c r="BW1144" s="16"/>
      <c r="BX1144" s="16"/>
      <c r="BY1144" s="16"/>
      <c r="BZ1144" s="16"/>
      <c r="CA1144" s="16"/>
      <c r="CB1144" s="16"/>
    </row>
    <row r="1145" spans="1:80" ht="16.149999999999999" customHeight="1" x14ac:dyDescent="0.25">
      <c r="A1145" s="16"/>
      <c r="B1145" s="16"/>
      <c r="C1145" s="16"/>
      <c r="D1145" s="16"/>
      <c r="E1145" s="16"/>
      <c r="F1145" s="16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</row>
    <row r="1146" spans="1:80" ht="16.149999999999999" customHeight="1" x14ac:dyDescent="0.25">
      <c r="A1146" s="16"/>
      <c r="B1146" s="16"/>
      <c r="C1146" s="16"/>
      <c r="D1146" s="16"/>
      <c r="E1146" s="16"/>
      <c r="F1146" s="16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6"/>
      <c r="AW1146" s="16"/>
      <c r="AX1146" s="16"/>
      <c r="AY1146" s="16"/>
      <c r="AZ1146" s="16"/>
      <c r="BA1146" s="16"/>
      <c r="BB1146" s="16"/>
      <c r="BC1146" s="16"/>
      <c r="BD1146" s="16"/>
      <c r="BE1146" s="16"/>
      <c r="BF1146" s="16"/>
      <c r="BG1146" s="16"/>
      <c r="BH1146" s="16"/>
      <c r="BI1146" s="16"/>
      <c r="BJ1146" s="16"/>
      <c r="BK1146" s="16"/>
      <c r="BL1146" s="16"/>
      <c r="BM1146" s="16"/>
      <c r="BN1146" s="16"/>
      <c r="BO1146" s="16"/>
      <c r="BP1146" s="16"/>
      <c r="BQ1146" s="16"/>
      <c r="BR1146" s="16"/>
      <c r="BS1146" s="16"/>
      <c r="BT1146" s="16"/>
      <c r="BU1146" s="16"/>
      <c r="BV1146" s="16"/>
      <c r="BW1146" s="16"/>
      <c r="BX1146" s="16"/>
      <c r="BY1146" s="16"/>
      <c r="BZ1146" s="16"/>
      <c r="CA1146" s="16"/>
      <c r="CB1146" s="16"/>
    </row>
    <row r="1147" spans="1:80" ht="16.149999999999999" customHeight="1" x14ac:dyDescent="0.25">
      <c r="A1147" s="16"/>
      <c r="B1147" s="16"/>
      <c r="C1147" s="16"/>
      <c r="D1147" s="16"/>
      <c r="E1147" s="16"/>
      <c r="F1147" s="16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</row>
    <row r="1148" spans="1:80" ht="16.149999999999999" customHeight="1" x14ac:dyDescent="0.25">
      <c r="A1148" s="16"/>
      <c r="B1148" s="16"/>
      <c r="C1148" s="16"/>
      <c r="D1148" s="16"/>
      <c r="E1148" s="16"/>
      <c r="F1148" s="16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6"/>
      <c r="AW1148" s="16"/>
      <c r="AX1148" s="16"/>
      <c r="AY1148" s="16"/>
      <c r="AZ1148" s="16"/>
      <c r="BA1148" s="16"/>
      <c r="BB1148" s="16"/>
      <c r="BC1148" s="16"/>
      <c r="BD1148" s="16"/>
      <c r="BE1148" s="16"/>
      <c r="BF1148" s="16"/>
      <c r="BG1148" s="16"/>
      <c r="BH1148" s="16"/>
      <c r="BI1148" s="16"/>
      <c r="BJ1148" s="16"/>
      <c r="BK1148" s="16"/>
      <c r="BL1148" s="16"/>
      <c r="BM1148" s="16"/>
      <c r="BN1148" s="16"/>
      <c r="BO1148" s="16"/>
      <c r="BP1148" s="16"/>
      <c r="BQ1148" s="16"/>
      <c r="BR1148" s="16"/>
      <c r="BS1148" s="16"/>
      <c r="BT1148" s="16"/>
      <c r="BU1148" s="16"/>
      <c r="BV1148" s="16"/>
      <c r="BW1148" s="16"/>
      <c r="BX1148" s="16"/>
      <c r="BY1148" s="16"/>
      <c r="BZ1148" s="16"/>
      <c r="CA1148" s="16"/>
      <c r="CB1148" s="16"/>
    </row>
    <row r="1149" spans="1:80" ht="16.149999999999999" customHeight="1" x14ac:dyDescent="0.25">
      <c r="A1149" s="16"/>
      <c r="B1149" s="16"/>
      <c r="C1149" s="16"/>
      <c r="D1149" s="16"/>
      <c r="E1149" s="16"/>
      <c r="F1149" s="16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6"/>
      <c r="AW1149" s="16"/>
      <c r="AX1149" s="16"/>
      <c r="AY1149" s="16"/>
      <c r="AZ1149" s="16"/>
      <c r="BA1149" s="16"/>
      <c r="BB1149" s="16"/>
      <c r="BC1149" s="16"/>
      <c r="BD1149" s="16"/>
      <c r="BE1149" s="16"/>
      <c r="BF1149" s="16"/>
      <c r="BG1149" s="16"/>
      <c r="BH1149" s="16"/>
      <c r="BI1149" s="16"/>
      <c r="BJ1149" s="16"/>
      <c r="BK1149" s="16"/>
      <c r="BL1149" s="16"/>
      <c r="BM1149" s="16"/>
      <c r="BN1149" s="16"/>
      <c r="BO1149" s="16"/>
      <c r="BP1149" s="16"/>
      <c r="BQ1149" s="16"/>
      <c r="BR1149" s="16"/>
      <c r="BS1149" s="16"/>
      <c r="BT1149" s="16"/>
      <c r="BU1149" s="16"/>
      <c r="BV1149" s="16"/>
      <c r="BW1149" s="16"/>
      <c r="BX1149" s="16"/>
      <c r="BY1149" s="16"/>
      <c r="BZ1149" s="16"/>
      <c r="CA1149" s="16"/>
      <c r="CB1149" s="16"/>
    </row>
    <row r="1150" spans="1:80" ht="16.149999999999999" customHeight="1" x14ac:dyDescent="0.25">
      <c r="A1150" s="16"/>
      <c r="B1150" s="16"/>
      <c r="C1150" s="16"/>
      <c r="D1150" s="16"/>
      <c r="E1150" s="16"/>
      <c r="F1150" s="16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6"/>
      <c r="AW1150" s="16"/>
      <c r="AX1150" s="16"/>
      <c r="AY1150" s="16"/>
      <c r="AZ1150" s="16"/>
      <c r="BA1150" s="16"/>
      <c r="BB1150" s="16"/>
      <c r="BC1150" s="16"/>
      <c r="BD1150" s="16"/>
      <c r="BE1150" s="16"/>
      <c r="BF1150" s="16"/>
      <c r="BG1150" s="16"/>
      <c r="BH1150" s="16"/>
      <c r="BI1150" s="16"/>
      <c r="BJ1150" s="16"/>
      <c r="BK1150" s="16"/>
      <c r="BL1150" s="16"/>
      <c r="BM1150" s="16"/>
      <c r="BN1150" s="16"/>
      <c r="BO1150" s="16"/>
      <c r="BP1150" s="16"/>
      <c r="BQ1150" s="16"/>
      <c r="BR1150" s="16"/>
      <c r="BS1150" s="16"/>
      <c r="BT1150" s="16"/>
      <c r="BU1150" s="16"/>
      <c r="BV1150" s="16"/>
      <c r="BW1150" s="16"/>
      <c r="BX1150" s="16"/>
      <c r="BY1150" s="16"/>
      <c r="BZ1150" s="16"/>
      <c r="CA1150" s="16"/>
      <c r="CB1150" s="16"/>
    </row>
    <row r="1151" spans="1:80" ht="16.149999999999999" customHeight="1" x14ac:dyDescent="0.25">
      <c r="A1151" t="s">
        <v>121</v>
      </c>
      <c r="AV1151" t="s">
        <v>121</v>
      </c>
    </row>
    <row r="1152" spans="1:80" ht="16.149999999999999" customHeight="1" x14ac:dyDescent="0.25"/>
    <row r="1153" ht="16.149999999999999" customHeight="1" x14ac:dyDescent="0.25"/>
    <row r="1154" ht="16.149999999999999" customHeight="1" x14ac:dyDescent="0.25"/>
    <row r="1155" ht="16.149999999999999" customHeight="1" x14ac:dyDescent="0.25"/>
    <row r="1156" ht="16.149999999999999" customHeight="1" x14ac:dyDescent="0.25"/>
    <row r="1157" ht="16.149999999999999" customHeight="1" x14ac:dyDescent="0.25"/>
    <row r="1158" ht="16.149999999999999" customHeight="1" x14ac:dyDescent="0.25"/>
    <row r="1159" ht="16.149999999999999" customHeight="1" x14ac:dyDescent="0.25"/>
    <row r="1160" ht="16.149999999999999" customHeight="1" x14ac:dyDescent="0.25"/>
    <row r="1161" ht="16.149999999999999" customHeight="1" x14ac:dyDescent="0.25"/>
    <row r="1162" ht="16.149999999999999" customHeight="1" x14ac:dyDescent="0.25"/>
    <row r="1163" ht="16.149999999999999" customHeight="1" x14ac:dyDescent="0.25"/>
    <row r="1164" ht="16.149999999999999" customHeight="1" x14ac:dyDescent="0.25"/>
    <row r="1165" ht="16.149999999999999" customHeight="1" x14ac:dyDescent="0.25"/>
    <row r="1166" ht="16.149999999999999" customHeight="1" x14ac:dyDescent="0.25"/>
    <row r="1167" ht="16.149999999999999" customHeight="1" x14ac:dyDescent="0.25"/>
    <row r="1168" ht="16.149999999999999" customHeight="1" x14ac:dyDescent="0.25"/>
    <row r="1169" ht="16.149999999999999" customHeight="1" x14ac:dyDescent="0.25"/>
    <row r="1170" ht="16.149999999999999" customHeight="1" x14ac:dyDescent="0.25"/>
    <row r="1171" ht="16.149999999999999" customHeight="1" x14ac:dyDescent="0.25"/>
    <row r="1172" ht="16.149999999999999" customHeight="1" x14ac:dyDescent="0.25"/>
    <row r="1173" ht="16.149999999999999" customHeight="1" x14ac:dyDescent="0.25"/>
    <row r="1174" ht="16.149999999999999" customHeight="1" x14ac:dyDescent="0.25"/>
    <row r="1175" ht="16.149999999999999" customHeight="1" x14ac:dyDescent="0.25"/>
    <row r="1176" ht="16.149999999999999" customHeight="1" x14ac:dyDescent="0.25"/>
    <row r="1177" ht="16.149999999999999" customHeight="1" x14ac:dyDescent="0.25"/>
    <row r="1178" ht="16.149999999999999" customHeight="1" x14ac:dyDescent="0.25"/>
    <row r="1179" ht="16.149999999999999" customHeight="1" x14ac:dyDescent="0.25"/>
    <row r="1180" ht="16.149999999999999" customHeight="1" x14ac:dyDescent="0.25"/>
    <row r="1181" ht="16.149999999999999" customHeight="1" x14ac:dyDescent="0.25"/>
    <row r="1182" ht="16.149999999999999" customHeight="1" x14ac:dyDescent="0.25"/>
    <row r="1183" ht="16.149999999999999" customHeight="1" x14ac:dyDescent="0.25"/>
    <row r="1184" ht="16.149999999999999" customHeight="1" x14ac:dyDescent="0.25"/>
    <row r="1185" ht="16.149999999999999" customHeight="1" x14ac:dyDescent="0.25"/>
    <row r="1186" ht="16.149999999999999" customHeight="1" x14ac:dyDescent="0.25"/>
    <row r="1187" ht="16.149999999999999" customHeight="1" x14ac:dyDescent="0.25"/>
    <row r="1188" ht="16.149999999999999" customHeight="1" x14ac:dyDescent="0.25"/>
    <row r="1189" ht="16.149999999999999" customHeight="1" x14ac:dyDescent="0.25"/>
    <row r="1190" ht="16.149999999999999" customHeight="1" x14ac:dyDescent="0.25"/>
    <row r="1191" ht="16.149999999999999" customHeight="1" x14ac:dyDescent="0.25"/>
    <row r="1192" ht="16.149999999999999" customHeight="1" x14ac:dyDescent="0.25"/>
    <row r="1193" ht="16.149999999999999" customHeight="1" x14ac:dyDescent="0.25"/>
    <row r="1194" ht="16.149999999999999" customHeight="1" x14ac:dyDescent="0.25"/>
    <row r="1195" ht="16.149999999999999" customHeight="1" x14ac:dyDescent="0.25"/>
    <row r="1196" ht="16.149999999999999" customHeight="1" x14ac:dyDescent="0.25"/>
    <row r="1197" ht="16.149999999999999" customHeight="1" x14ac:dyDescent="0.25"/>
    <row r="1198" ht="16.149999999999999" customHeight="1" x14ac:dyDescent="0.25"/>
    <row r="1199" ht="16.149999999999999" customHeight="1" x14ac:dyDescent="0.25"/>
    <row r="1200" ht="16.149999999999999" customHeight="1" x14ac:dyDescent="0.25"/>
    <row r="1201" ht="16.149999999999999" customHeight="1" x14ac:dyDescent="0.25"/>
    <row r="1202" ht="16.149999999999999" customHeight="1" x14ac:dyDescent="0.25"/>
    <row r="1203" ht="16.149999999999999" customHeight="1" x14ac:dyDescent="0.25"/>
    <row r="1204" ht="16.149999999999999" customHeight="1" x14ac:dyDescent="0.25"/>
    <row r="1205" ht="16.149999999999999" customHeight="1" x14ac:dyDescent="0.25"/>
    <row r="1206" ht="16.149999999999999" customHeight="1" x14ac:dyDescent="0.25"/>
    <row r="1207" ht="16.149999999999999" customHeight="1" x14ac:dyDescent="0.25"/>
    <row r="1208" ht="16.149999999999999" customHeight="1" x14ac:dyDescent="0.25"/>
    <row r="1209" ht="16.149999999999999" customHeight="1" x14ac:dyDescent="0.25"/>
    <row r="1210" ht="16.149999999999999" customHeight="1" x14ac:dyDescent="0.25"/>
    <row r="1211" ht="16.149999999999999" customHeight="1" x14ac:dyDescent="0.25"/>
    <row r="1212" ht="16.149999999999999" customHeight="1" x14ac:dyDescent="0.25"/>
    <row r="1213" ht="16.149999999999999" customHeight="1" x14ac:dyDescent="0.25"/>
    <row r="1214" ht="16.149999999999999" customHeight="1" x14ac:dyDescent="0.25"/>
    <row r="1215" ht="16.149999999999999" customHeight="1" x14ac:dyDescent="0.25"/>
    <row r="1216" ht="16.149999999999999" customHeight="1" x14ac:dyDescent="0.25"/>
    <row r="1217" ht="16.149999999999999" customHeight="1" x14ac:dyDescent="0.25"/>
    <row r="1218" ht="16.149999999999999" customHeight="1" x14ac:dyDescent="0.25"/>
    <row r="1219" ht="16.149999999999999" customHeight="1" x14ac:dyDescent="0.25"/>
    <row r="1220" ht="16.149999999999999" customHeight="1" x14ac:dyDescent="0.25"/>
    <row r="1221" ht="16.149999999999999" customHeight="1" x14ac:dyDescent="0.25"/>
    <row r="1222" ht="16.149999999999999" customHeight="1" x14ac:dyDescent="0.25"/>
    <row r="1223" ht="16.149999999999999" customHeight="1" x14ac:dyDescent="0.25"/>
    <row r="1224" ht="16.149999999999999" customHeight="1" x14ac:dyDescent="0.25"/>
    <row r="1225" ht="16.149999999999999" customHeight="1" x14ac:dyDescent="0.25"/>
    <row r="1226" ht="16.149999999999999" customHeight="1" x14ac:dyDescent="0.25"/>
    <row r="1227" ht="16.149999999999999" customHeight="1" x14ac:dyDescent="0.25"/>
    <row r="1228" ht="16.149999999999999" customHeight="1" x14ac:dyDescent="0.25"/>
    <row r="1229" ht="16.149999999999999" customHeight="1" x14ac:dyDescent="0.25"/>
    <row r="1230" ht="16.149999999999999" customHeight="1" x14ac:dyDescent="0.25"/>
    <row r="1231" ht="16.149999999999999" customHeight="1" x14ac:dyDescent="0.25"/>
    <row r="1232" ht="16.149999999999999" customHeight="1" x14ac:dyDescent="0.25"/>
    <row r="1233" ht="16.149999999999999" customHeight="1" x14ac:dyDescent="0.25"/>
    <row r="1234" ht="16.149999999999999" customHeight="1" x14ac:dyDescent="0.25"/>
    <row r="1235" ht="16.149999999999999" customHeight="1" x14ac:dyDescent="0.25"/>
    <row r="1236" ht="16.149999999999999" customHeight="1" x14ac:dyDescent="0.25"/>
    <row r="1237" ht="16.149999999999999" customHeight="1" x14ac:dyDescent="0.25"/>
    <row r="1238" ht="16.149999999999999" customHeight="1" x14ac:dyDescent="0.25"/>
    <row r="1239" ht="16.149999999999999" customHeight="1" x14ac:dyDescent="0.25"/>
    <row r="1240" ht="16.149999999999999" customHeight="1" x14ac:dyDescent="0.25"/>
    <row r="1241" ht="16.149999999999999" customHeight="1" x14ac:dyDescent="0.25"/>
    <row r="1242" ht="16.149999999999999" customHeight="1" x14ac:dyDescent="0.25"/>
    <row r="1243" ht="16.149999999999999" customHeight="1" x14ac:dyDescent="0.25"/>
    <row r="1244" ht="16.149999999999999" customHeight="1" x14ac:dyDescent="0.25"/>
    <row r="1245" ht="16.149999999999999" customHeight="1" x14ac:dyDescent="0.25"/>
    <row r="1246" ht="16.149999999999999" customHeight="1" x14ac:dyDescent="0.25"/>
    <row r="1247" ht="16.149999999999999" customHeight="1" x14ac:dyDescent="0.25"/>
    <row r="1248" ht="16.149999999999999" customHeight="1" x14ac:dyDescent="0.25"/>
    <row r="1249" ht="16.149999999999999" customHeight="1" x14ac:dyDescent="0.25"/>
    <row r="1250" ht="16.149999999999999" customHeight="1" x14ac:dyDescent="0.25"/>
    <row r="1251" ht="16.149999999999999" customHeight="1" x14ac:dyDescent="0.25"/>
    <row r="1252" ht="16.149999999999999" customHeight="1" x14ac:dyDescent="0.25"/>
    <row r="1253" ht="16.149999999999999" customHeight="1" x14ac:dyDescent="0.25"/>
    <row r="1254" ht="16.149999999999999" customHeight="1" x14ac:dyDescent="0.25"/>
    <row r="1255" ht="16.149999999999999" customHeight="1" x14ac:dyDescent="0.25"/>
    <row r="1256" ht="16.149999999999999" customHeight="1" x14ac:dyDescent="0.25"/>
    <row r="1257" ht="16.149999999999999" customHeight="1" x14ac:dyDescent="0.25"/>
    <row r="1258" ht="16.149999999999999" customHeight="1" x14ac:dyDescent="0.25"/>
    <row r="1259" ht="16.149999999999999" customHeight="1" x14ac:dyDescent="0.25"/>
    <row r="1260" ht="16.149999999999999" customHeight="1" x14ac:dyDescent="0.25"/>
    <row r="1261" ht="16.149999999999999" customHeight="1" x14ac:dyDescent="0.25"/>
    <row r="1262" ht="16.149999999999999" customHeight="1" x14ac:dyDescent="0.25"/>
    <row r="1263" ht="16.149999999999999" customHeight="1" x14ac:dyDescent="0.25"/>
    <row r="1264" ht="16.149999999999999" customHeight="1" x14ac:dyDescent="0.25"/>
    <row r="1265" ht="16.149999999999999" customHeight="1" x14ac:dyDescent="0.25"/>
    <row r="1266" ht="16.149999999999999" customHeight="1" x14ac:dyDescent="0.25"/>
    <row r="1267" ht="16.149999999999999" customHeight="1" x14ac:dyDescent="0.25"/>
    <row r="1268" ht="16.149999999999999" customHeight="1" x14ac:dyDescent="0.25"/>
    <row r="1269" ht="16.149999999999999" customHeight="1" x14ac:dyDescent="0.25"/>
    <row r="1270" ht="16.149999999999999" customHeight="1" x14ac:dyDescent="0.25"/>
    <row r="1271" ht="16.149999999999999" customHeight="1" x14ac:dyDescent="0.25"/>
    <row r="1272" ht="16.149999999999999" customHeight="1" x14ac:dyDescent="0.25"/>
    <row r="1273" ht="16.149999999999999" customHeight="1" x14ac:dyDescent="0.25"/>
    <row r="1274" ht="16.149999999999999" customHeight="1" x14ac:dyDescent="0.25"/>
    <row r="1275" ht="16.149999999999999" customHeight="1" x14ac:dyDescent="0.25"/>
    <row r="1276" ht="16.149999999999999" customHeight="1" x14ac:dyDescent="0.25"/>
    <row r="1277" ht="16.149999999999999" customHeight="1" x14ac:dyDescent="0.25"/>
    <row r="1278" ht="16.149999999999999" customHeight="1" x14ac:dyDescent="0.25"/>
    <row r="1279" ht="16.149999999999999" customHeight="1" x14ac:dyDescent="0.25"/>
    <row r="1280" ht="16.149999999999999" customHeight="1" x14ac:dyDescent="0.25"/>
    <row r="1281" ht="16.149999999999999" customHeight="1" x14ac:dyDescent="0.25"/>
    <row r="1282" ht="16.149999999999999" customHeight="1" x14ac:dyDescent="0.25"/>
    <row r="1283" ht="16.149999999999999" customHeight="1" x14ac:dyDescent="0.25"/>
    <row r="1284" ht="16.149999999999999" customHeight="1" x14ac:dyDescent="0.25"/>
    <row r="1285" ht="16.149999999999999" customHeight="1" x14ac:dyDescent="0.25"/>
    <row r="1286" ht="16.149999999999999" customHeight="1" x14ac:dyDescent="0.25"/>
    <row r="1287" ht="16.149999999999999" customHeight="1" x14ac:dyDescent="0.25"/>
    <row r="1288" ht="16.149999999999999" customHeight="1" x14ac:dyDescent="0.25"/>
    <row r="1289" ht="16.149999999999999" customHeight="1" x14ac:dyDescent="0.25"/>
    <row r="1290" ht="16.149999999999999" customHeight="1" x14ac:dyDescent="0.25"/>
    <row r="1291" ht="16.149999999999999" customHeight="1" x14ac:dyDescent="0.25"/>
    <row r="1292" ht="16.149999999999999" customHeight="1" x14ac:dyDescent="0.25"/>
    <row r="1293" ht="16.149999999999999" customHeight="1" x14ac:dyDescent="0.25"/>
    <row r="1294" ht="16.149999999999999" customHeight="1" x14ac:dyDescent="0.25"/>
    <row r="1295" ht="16.149999999999999" customHeight="1" x14ac:dyDescent="0.25"/>
    <row r="1296" ht="16.149999999999999" customHeight="1" x14ac:dyDescent="0.25"/>
    <row r="1297" ht="16.149999999999999" customHeight="1" x14ac:dyDescent="0.25"/>
    <row r="1298" ht="16.149999999999999" customHeight="1" x14ac:dyDescent="0.25"/>
    <row r="1299" ht="16.149999999999999" customHeight="1" x14ac:dyDescent="0.25"/>
    <row r="1300" ht="16.149999999999999" customHeight="1" x14ac:dyDescent="0.25"/>
    <row r="1301" ht="16.149999999999999" customHeight="1" x14ac:dyDescent="0.25"/>
    <row r="1302" ht="16.149999999999999" customHeight="1" x14ac:dyDescent="0.25"/>
    <row r="1303" ht="16.149999999999999" customHeight="1" x14ac:dyDescent="0.25"/>
    <row r="1304" ht="16.149999999999999" customHeight="1" x14ac:dyDescent="0.25"/>
    <row r="1305" ht="16.149999999999999" customHeight="1" x14ac:dyDescent="0.25"/>
    <row r="1306" ht="16.149999999999999" customHeight="1" x14ac:dyDescent="0.25"/>
    <row r="1307" ht="16.149999999999999" customHeight="1" x14ac:dyDescent="0.25"/>
    <row r="1308" ht="16.149999999999999" customHeight="1" x14ac:dyDescent="0.25"/>
    <row r="1309" ht="16.149999999999999" customHeight="1" x14ac:dyDescent="0.25"/>
    <row r="1310" ht="16.149999999999999" customHeight="1" x14ac:dyDescent="0.25"/>
    <row r="1311" ht="16.149999999999999" customHeight="1" x14ac:dyDescent="0.25"/>
    <row r="1312" ht="16.149999999999999" customHeight="1" x14ac:dyDescent="0.25"/>
    <row r="1313" ht="16.149999999999999" customHeight="1" x14ac:dyDescent="0.25"/>
    <row r="1314" ht="16.149999999999999" customHeight="1" x14ac:dyDescent="0.25"/>
    <row r="1315" ht="16.149999999999999" customHeight="1" x14ac:dyDescent="0.25"/>
    <row r="1316" ht="16.149999999999999" customHeight="1" x14ac:dyDescent="0.25"/>
    <row r="1317" ht="16.149999999999999" customHeight="1" x14ac:dyDescent="0.25"/>
    <row r="1318" ht="16.149999999999999" customHeight="1" x14ac:dyDescent="0.25"/>
    <row r="1319" ht="16.149999999999999" customHeight="1" x14ac:dyDescent="0.25"/>
    <row r="1320" ht="16.149999999999999" customHeight="1" x14ac:dyDescent="0.25"/>
    <row r="1321" ht="16.149999999999999" customHeight="1" x14ac:dyDescent="0.25"/>
    <row r="1322" ht="16.149999999999999" customHeight="1" x14ac:dyDescent="0.25"/>
    <row r="1323" ht="16.149999999999999" customHeight="1" x14ac:dyDescent="0.25"/>
    <row r="1324" ht="16.149999999999999" customHeight="1" x14ac:dyDescent="0.25"/>
    <row r="1325" ht="16.149999999999999" customHeight="1" x14ac:dyDescent="0.25"/>
    <row r="1326" ht="16.149999999999999" customHeight="1" x14ac:dyDescent="0.25"/>
    <row r="1327" ht="16.149999999999999" customHeight="1" x14ac:dyDescent="0.25"/>
    <row r="1328" ht="16.149999999999999" customHeight="1" x14ac:dyDescent="0.25"/>
    <row r="1329" ht="16.149999999999999" customHeight="1" x14ac:dyDescent="0.25"/>
    <row r="1330" ht="16.149999999999999" customHeight="1" x14ac:dyDescent="0.25"/>
    <row r="1331" ht="16.149999999999999" customHeight="1" x14ac:dyDescent="0.25"/>
    <row r="1332" ht="16.149999999999999" customHeight="1" x14ac:dyDescent="0.25"/>
    <row r="1333" ht="16.149999999999999" customHeight="1" x14ac:dyDescent="0.25"/>
    <row r="1334" ht="16.149999999999999" customHeight="1" x14ac:dyDescent="0.25"/>
    <row r="1335" ht="16.149999999999999" customHeight="1" x14ac:dyDescent="0.25"/>
    <row r="1336" ht="16.149999999999999" customHeight="1" x14ac:dyDescent="0.25"/>
    <row r="1337" ht="16.149999999999999" customHeight="1" x14ac:dyDescent="0.25"/>
    <row r="1338" ht="16.149999999999999" customHeight="1" x14ac:dyDescent="0.25"/>
    <row r="1339" ht="16.149999999999999" customHeight="1" x14ac:dyDescent="0.25"/>
    <row r="1340" ht="16.149999999999999" customHeight="1" x14ac:dyDescent="0.25"/>
    <row r="1341" ht="16.149999999999999" customHeight="1" x14ac:dyDescent="0.25"/>
    <row r="1342" ht="16.149999999999999" customHeight="1" x14ac:dyDescent="0.25"/>
    <row r="1343" ht="16.149999999999999" customHeight="1" x14ac:dyDescent="0.25"/>
    <row r="1344" ht="16.149999999999999" customHeight="1" x14ac:dyDescent="0.25"/>
    <row r="1345" ht="16.149999999999999" customHeight="1" x14ac:dyDescent="0.25"/>
    <row r="1346" ht="16.149999999999999" customHeight="1" x14ac:dyDescent="0.25"/>
    <row r="1347" ht="16.149999999999999" customHeight="1" x14ac:dyDescent="0.25"/>
    <row r="1348" ht="16.149999999999999" customHeight="1" x14ac:dyDescent="0.25"/>
    <row r="1349" ht="16.149999999999999" customHeight="1" x14ac:dyDescent="0.25"/>
    <row r="1350" ht="16.149999999999999" customHeight="1" x14ac:dyDescent="0.25"/>
    <row r="1351" ht="16.149999999999999" customHeight="1" x14ac:dyDescent="0.25"/>
    <row r="1352" ht="16.149999999999999" customHeight="1" x14ac:dyDescent="0.25"/>
    <row r="1353" ht="16.149999999999999" customHeight="1" x14ac:dyDescent="0.25"/>
    <row r="1354" ht="16.149999999999999" customHeight="1" x14ac:dyDescent="0.25"/>
    <row r="1355" ht="16.149999999999999" customHeight="1" x14ac:dyDescent="0.25"/>
    <row r="1356" ht="16.149999999999999" customHeight="1" x14ac:dyDescent="0.25"/>
    <row r="1357" ht="16.149999999999999" customHeight="1" x14ac:dyDescent="0.25"/>
    <row r="1358" ht="16.149999999999999" customHeight="1" x14ac:dyDescent="0.25"/>
    <row r="1359" ht="16.149999999999999" customHeight="1" x14ac:dyDescent="0.25"/>
    <row r="1360" ht="16.149999999999999" customHeight="1" x14ac:dyDescent="0.25"/>
    <row r="1361" ht="16.149999999999999" customHeight="1" x14ac:dyDescent="0.25"/>
    <row r="1362" ht="16.149999999999999" customHeight="1" x14ac:dyDescent="0.25"/>
    <row r="1363" ht="16.149999999999999" customHeight="1" x14ac:dyDescent="0.25"/>
    <row r="1364" ht="16.149999999999999" customHeight="1" x14ac:dyDescent="0.25"/>
    <row r="1365" ht="16.149999999999999" customHeight="1" x14ac:dyDescent="0.25"/>
    <row r="1366" ht="16.149999999999999" customHeight="1" x14ac:dyDescent="0.25"/>
    <row r="1367" ht="16.149999999999999" customHeight="1" x14ac:dyDescent="0.25"/>
    <row r="1368" ht="16.149999999999999" customHeight="1" x14ac:dyDescent="0.25"/>
    <row r="1369" ht="16.149999999999999" customHeight="1" x14ac:dyDescent="0.25"/>
    <row r="1370" ht="16.149999999999999" customHeight="1" x14ac:dyDescent="0.25"/>
    <row r="1371" ht="16.149999999999999" customHeight="1" x14ac:dyDescent="0.25"/>
    <row r="1372" ht="16.149999999999999" customHeight="1" x14ac:dyDescent="0.25"/>
    <row r="1373" ht="16.149999999999999" customHeight="1" x14ac:dyDescent="0.25"/>
    <row r="1374" ht="16.149999999999999" customHeight="1" x14ac:dyDescent="0.25"/>
    <row r="1375" ht="16.149999999999999" customHeight="1" x14ac:dyDescent="0.25"/>
    <row r="1376" ht="16.149999999999999" customHeight="1" x14ac:dyDescent="0.25"/>
    <row r="1377" ht="16.149999999999999" customHeight="1" x14ac:dyDescent="0.25"/>
    <row r="1378" ht="16.149999999999999" customHeight="1" x14ac:dyDescent="0.25"/>
    <row r="1379" ht="16.149999999999999" customHeight="1" x14ac:dyDescent="0.25"/>
    <row r="1380" ht="16.149999999999999" customHeight="1" x14ac:dyDescent="0.25"/>
    <row r="1381" ht="16.149999999999999" customHeight="1" x14ac:dyDescent="0.25"/>
    <row r="1382" ht="16.149999999999999" customHeight="1" x14ac:dyDescent="0.25"/>
    <row r="1383" ht="16.149999999999999" customHeight="1" x14ac:dyDescent="0.25"/>
    <row r="1384" ht="16.149999999999999" customHeight="1" x14ac:dyDescent="0.25"/>
    <row r="1385" ht="16.149999999999999" customHeight="1" x14ac:dyDescent="0.25"/>
    <row r="1386" ht="16.149999999999999" customHeight="1" x14ac:dyDescent="0.25"/>
    <row r="1387" ht="16.149999999999999" customHeight="1" x14ac:dyDescent="0.25"/>
    <row r="1388" ht="16.149999999999999" customHeight="1" x14ac:dyDescent="0.25"/>
    <row r="1389" ht="16.149999999999999" customHeight="1" x14ac:dyDescent="0.25"/>
    <row r="1390" ht="16.149999999999999" customHeight="1" x14ac:dyDescent="0.25"/>
    <row r="1391" ht="16.149999999999999" customHeight="1" x14ac:dyDescent="0.25"/>
    <row r="1392" ht="16.149999999999999" customHeight="1" x14ac:dyDescent="0.25"/>
    <row r="1393" ht="16.149999999999999" customHeight="1" x14ac:dyDescent="0.25"/>
    <row r="1394" ht="16.149999999999999" customHeight="1" x14ac:dyDescent="0.25"/>
    <row r="1395" ht="16.149999999999999" customHeight="1" x14ac:dyDescent="0.25"/>
    <row r="1396" ht="16.149999999999999" customHeight="1" x14ac:dyDescent="0.25"/>
    <row r="1397" ht="16.149999999999999" customHeight="1" x14ac:dyDescent="0.25"/>
    <row r="1398" ht="16.149999999999999" customHeight="1" x14ac:dyDescent="0.25"/>
    <row r="1399" ht="16.149999999999999" customHeight="1" x14ac:dyDescent="0.25"/>
    <row r="1400" ht="16.149999999999999" customHeight="1" x14ac:dyDescent="0.25"/>
    <row r="1401" ht="16.149999999999999" customHeight="1" x14ac:dyDescent="0.25"/>
    <row r="1402" ht="16.149999999999999" customHeight="1" x14ac:dyDescent="0.25"/>
    <row r="1403" ht="16.149999999999999" customHeight="1" x14ac:dyDescent="0.25"/>
    <row r="1404" ht="16.149999999999999" customHeight="1" x14ac:dyDescent="0.25"/>
    <row r="1405" ht="16.149999999999999" customHeight="1" x14ac:dyDescent="0.25"/>
    <row r="1406" ht="16.149999999999999" customHeight="1" x14ac:dyDescent="0.25"/>
    <row r="1407" ht="16.149999999999999" customHeight="1" x14ac:dyDescent="0.25"/>
    <row r="1408" ht="16.149999999999999" customHeight="1" x14ac:dyDescent="0.25"/>
    <row r="1409" ht="16.149999999999999" customHeight="1" x14ac:dyDescent="0.25"/>
    <row r="1410" ht="16.149999999999999" customHeight="1" x14ac:dyDescent="0.25"/>
    <row r="1411" ht="16.149999999999999" customHeight="1" x14ac:dyDescent="0.25"/>
    <row r="1412" ht="16.149999999999999" customHeight="1" x14ac:dyDescent="0.25"/>
    <row r="1413" ht="16.149999999999999" customHeight="1" x14ac:dyDescent="0.25"/>
    <row r="1414" ht="16.149999999999999" customHeight="1" x14ac:dyDescent="0.25"/>
    <row r="1415" ht="16.149999999999999" customHeight="1" x14ac:dyDescent="0.25"/>
    <row r="1416" ht="16.149999999999999" customHeight="1" x14ac:dyDescent="0.25"/>
    <row r="1417" ht="16.149999999999999" customHeight="1" x14ac:dyDescent="0.25"/>
    <row r="1418" ht="16.149999999999999" customHeight="1" x14ac:dyDescent="0.25"/>
    <row r="1419" ht="16.149999999999999" customHeight="1" x14ac:dyDescent="0.25"/>
    <row r="1420" ht="16.149999999999999" customHeight="1" x14ac:dyDescent="0.25"/>
    <row r="1421" ht="16.149999999999999" customHeight="1" x14ac:dyDescent="0.25"/>
    <row r="1422" ht="16.149999999999999" customHeight="1" x14ac:dyDescent="0.25"/>
    <row r="1423" ht="16.149999999999999" customHeight="1" x14ac:dyDescent="0.25"/>
    <row r="1424" ht="16.149999999999999" customHeight="1" x14ac:dyDescent="0.25"/>
    <row r="1425" ht="16.149999999999999" customHeight="1" x14ac:dyDescent="0.25"/>
    <row r="1426" ht="16.149999999999999" customHeight="1" x14ac:dyDescent="0.25"/>
    <row r="1427" ht="16.149999999999999" customHeight="1" x14ac:dyDescent="0.25"/>
    <row r="1428" ht="16.149999999999999" customHeight="1" x14ac:dyDescent="0.25"/>
    <row r="1429" ht="16.149999999999999" customHeight="1" x14ac:dyDescent="0.25"/>
    <row r="1430" ht="16.149999999999999" customHeight="1" x14ac:dyDescent="0.25"/>
    <row r="1431" ht="16.149999999999999" customHeight="1" x14ac:dyDescent="0.25"/>
    <row r="1432" ht="16.149999999999999" customHeight="1" x14ac:dyDescent="0.25"/>
    <row r="1433" ht="16.149999999999999" customHeight="1" x14ac:dyDescent="0.25"/>
    <row r="1434" ht="16.149999999999999" customHeight="1" x14ac:dyDescent="0.25"/>
    <row r="1435" ht="16.149999999999999" customHeight="1" x14ac:dyDescent="0.25"/>
    <row r="1436" ht="16.149999999999999" customHeight="1" x14ac:dyDescent="0.25"/>
    <row r="1437" ht="16.149999999999999" customHeight="1" x14ac:dyDescent="0.25"/>
    <row r="1438" ht="16.149999999999999" customHeight="1" x14ac:dyDescent="0.25"/>
    <row r="1439" ht="16.149999999999999" customHeight="1" x14ac:dyDescent="0.25"/>
    <row r="1440" ht="16.149999999999999" customHeight="1" x14ac:dyDescent="0.25"/>
    <row r="1441" ht="16.149999999999999" customHeight="1" x14ac:dyDescent="0.25"/>
    <row r="1442" ht="16.149999999999999" customHeight="1" x14ac:dyDescent="0.25"/>
    <row r="1443" ht="16.149999999999999" customHeight="1" x14ac:dyDescent="0.25"/>
    <row r="1444" ht="16.149999999999999" customHeight="1" x14ac:dyDescent="0.25"/>
    <row r="1445" ht="16.149999999999999" customHeight="1" x14ac:dyDescent="0.25"/>
    <row r="1446" ht="16.149999999999999" customHeight="1" x14ac:dyDescent="0.25"/>
    <row r="1447" ht="16.149999999999999" customHeight="1" x14ac:dyDescent="0.25"/>
    <row r="1448" ht="16.149999999999999" customHeight="1" x14ac:dyDescent="0.25"/>
    <row r="1449" ht="16.149999999999999" customHeight="1" x14ac:dyDescent="0.25"/>
    <row r="1450" ht="16.149999999999999" customHeight="1" x14ac:dyDescent="0.25"/>
    <row r="1451" ht="16.149999999999999" customHeight="1" x14ac:dyDescent="0.25"/>
    <row r="1452" ht="16.149999999999999" customHeight="1" x14ac:dyDescent="0.25"/>
    <row r="1453" ht="16.149999999999999" customHeight="1" x14ac:dyDescent="0.25"/>
    <row r="1454" ht="16.149999999999999" customHeight="1" x14ac:dyDescent="0.25"/>
    <row r="1455" ht="16.149999999999999" customHeight="1" x14ac:dyDescent="0.25"/>
    <row r="1456" ht="16.149999999999999" customHeight="1" x14ac:dyDescent="0.25"/>
    <row r="1457" ht="16.149999999999999" customHeight="1" x14ac:dyDescent="0.25"/>
    <row r="1458" ht="16.149999999999999" customHeight="1" x14ac:dyDescent="0.25"/>
    <row r="1459" ht="16.149999999999999" customHeight="1" x14ac:dyDescent="0.25"/>
    <row r="1460" ht="16.149999999999999" customHeight="1" x14ac:dyDescent="0.25"/>
    <row r="1461" ht="16.149999999999999" customHeight="1" x14ac:dyDescent="0.25"/>
    <row r="1462" ht="16.149999999999999" customHeight="1" x14ac:dyDescent="0.25"/>
    <row r="1463" ht="16.149999999999999" customHeight="1" x14ac:dyDescent="0.25"/>
    <row r="1464" ht="16.149999999999999" customHeight="1" x14ac:dyDescent="0.25"/>
    <row r="1465" ht="16.149999999999999" customHeight="1" x14ac:dyDescent="0.25"/>
    <row r="1466" ht="16.149999999999999" customHeight="1" x14ac:dyDescent="0.25"/>
    <row r="1467" ht="16.149999999999999" customHeight="1" x14ac:dyDescent="0.25"/>
    <row r="1468" ht="16.149999999999999" customHeight="1" x14ac:dyDescent="0.25"/>
    <row r="1469" ht="16.149999999999999" customHeight="1" x14ac:dyDescent="0.25"/>
    <row r="1470" ht="16.149999999999999" customHeight="1" x14ac:dyDescent="0.25"/>
    <row r="1471" ht="16.149999999999999" customHeight="1" x14ac:dyDescent="0.25"/>
    <row r="1472" ht="16.149999999999999" customHeight="1" x14ac:dyDescent="0.25"/>
    <row r="1473" ht="16.149999999999999" customHeight="1" x14ac:dyDescent="0.25"/>
    <row r="1474" ht="16.149999999999999" customHeight="1" x14ac:dyDescent="0.25"/>
    <row r="1475" ht="16.149999999999999" customHeight="1" x14ac:dyDescent="0.25"/>
    <row r="1476" ht="16.149999999999999" customHeight="1" x14ac:dyDescent="0.25"/>
    <row r="1477" ht="16.149999999999999" customHeight="1" x14ac:dyDescent="0.25"/>
    <row r="1478" ht="16.149999999999999" customHeight="1" x14ac:dyDescent="0.25"/>
    <row r="1479" ht="16.149999999999999" customHeight="1" x14ac:dyDescent="0.25"/>
    <row r="1480" ht="16.149999999999999" customHeight="1" x14ac:dyDescent="0.25"/>
    <row r="1481" ht="16.149999999999999" customHeight="1" x14ac:dyDescent="0.25"/>
    <row r="1482" ht="16.149999999999999" customHeight="1" x14ac:dyDescent="0.25"/>
    <row r="1483" ht="16.149999999999999" customHeight="1" x14ac:dyDescent="0.25"/>
    <row r="1484" ht="16.149999999999999" customHeight="1" x14ac:dyDescent="0.25"/>
    <row r="1485" ht="16.149999999999999" customHeight="1" x14ac:dyDescent="0.25"/>
    <row r="1486" ht="16.149999999999999" customHeight="1" x14ac:dyDescent="0.25"/>
    <row r="1487" ht="16.149999999999999" customHeight="1" x14ac:dyDescent="0.25"/>
    <row r="1488" ht="16.149999999999999" customHeight="1" x14ac:dyDescent="0.25"/>
    <row r="1489" ht="16.149999999999999" customHeight="1" x14ac:dyDescent="0.25"/>
    <row r="1490" ht="16.149999999999999" customHeight="1" x14ac:dyDescent="0.25"/>
    <row r="1491" ht="16.149999999999999" customHeight="1" x14ac:dyDescent="0.25"/>
    <row r="1492" ht="16.149999999999999" customHeight="1" x14ac:dyDescent="0.25"/>
    <row r="1493" ht="16.149999999999999" customHeight="1" x14ac:dyDescent="0.25"/>
    <row r="1494" ht="16.149999999999999" customHeight="1" x14ac:dyDescent="0.25"/>
    <row r="1495" ht="16.149999999999999" customHeight="1" x14ac:dyDescent="0.25"/>
    <row r="1496" ht="16.149999999999999" customHeight="1" x14ac:dyDescent="0.25"/>
    <row r="1497" ht="16.149999999999999" customHeight="1" x14ac:dyDescent="0.25"/>
  </sheetData>
  <autoFilter ref="A10:AX500011"/>
  <sortState ref="H11:H24">
    <sortCondition ref="H10"/>
  </sortState>
  <phoneticPr fontId="9" type="noConversion"/>
  <pageMargins left="0.7" right="0.7" top="0.75" bottom="0.75" header="0.3" footer="0.3"/>
  <pageSetup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F75290-4D70-4C47-892E-FE93939F1C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46</vt:i4>
      </vt:variant>
    </vt:vector>
  </HeadingPairs>
  <TitlesOfParts>
    <vt:vector size="56" baseType="lpstr">
      <vt:lpstr>transaccion</vt:lpstr>
      <vt:lpstr>usuarios</vt:lpstr>
      <vt:lpstr>consultas</vt:lpstr>
      <vt:lpstr>urgencias</vt:lpstr>
      <vt:lpstr>procedimientos</vt:lpstr>
      <vt:lpstr>hospitalizacion</vt:lpstr>
      <vt:lpstr>recienNacidos</vt:lpstr>
      <vt:lpstr>medicamentos</vt:lpstr>
      <vt:lpstr>otrosServicios</vt:lpstr>
      <vt:lpstr>Listas</vt:lpstr>
      <vt:lpstr>_01T03_Transaccion_tipoNota</vt:lpstr>
      <vt:lpstr>_02U_Doc_Ident</vt:lpstr>
      <vt:lpstr>_02U01_por_tipo_tipoDocumentoIdentificacion</vt:lpstr>
      <vt:lpstr>_02U01_Usuario_tipoDocumentoIdentificacion</vt:lpstr>
      <vt:lpstr>_02U02_numDocumentoIdObligado</vt:lpstr>
      <vt:lpstr>_02U03_Usuario_tipoUsuario</vt:lpstr>
      <vt:lpstr>_02U05_Usuario_codSexo</vt:lpstr>
      <vt:lpstr>_02U06_Usuario_codPaisResidencia</vt:lpstr>
      <vt:lpstr>_02U07_Usuario_codMunicipioResidencia</vt:lpstr>
      <vt:lpstr>_02U08_Usuario_codZonaTerritorialResidencia</vt:lpstr>
      <vt:lpstr>_02U09_Usuario_incapacidad</vt:lpstr>
      <vt:lpstr>_02U11_Usuario_codPaisOrigen</vt:lpstr>
      <vt:lpstr>_03C05_Consulta_modalidadGrupoServicioTecSal</vt:lpstr>
      <vt:lpstr>_03C06_Consulta_grupoServicios</vt:lpstr>
      <vt:lpstr>_03C07_Consulta_codServicio</vt:lpstr>
      <vt:lpstr>_03C08_Consulta_FinalidadTecnologiaSalud</vt:lpstr>
      <vt:lpstr>_03C09_Consulta_causaMotivoAtencion</vt:lpstr>
      <vt:lpstr>_03C14_Consulta_tipoDiagnosticoPrincipal</vt:lpstr>
      <vt:lpstr>_03C15_Consulta_tipoDocumentoIdentificacion</vt:lpstr>
      <vt:lpstr>_03C18_Consulta_conceptoRecaudo</vt:lpstr>
      <vt:lpstr>_04P06_Procedimientos_viaIngresoServicioSalud</vt:lpstr>
      <vt:lpstr>_04P07_Procedimientos_modalidadGrupoServicioTecSal</vt:lpstr>
      <vt:lpstr>_04P08_Procedimientos_grupoServicios</vt:lpstr>
      <vt:lpstr>_04P09_Procedimientos_codservicio</vt:lpstr>
      <vt:lpstr>_04P10_Procedimientos_finalidadTecnologiaSalud</vt:lpstr>
      <vt:lpstr>_04P11_Procedimientos_tipoDocumentoIdentificacion</vt:lpstr>
      <vt:lpstr>_04P17_Procedimientos_conceptoRecaudo</vt:lpstr>
      <vt:lpstr>_05R03_Urgencias_causaMotivoAtencion</vt:lpstr>
      <vt:lpstr>_05R09_Urgencias_condicionDestinoUsuarioEgreso</vt:lpstr>
      <vt:lpstr>_06H02_Hospitalizacion_viaIngresoServicioSalud</vt:lpstr>
      <vt:lpstr>_06H05_Hospitalizacion_causaMotivoAtencion</vt:lpstr>
      <vt:lpstr>_06H12_Hospitalizacion_condicionDestinoUsuarioEgreso</vt:lpstr>
      <vt:lpstr>_07N02_Recien_Nacidos_tipoDocumentoIdentificacion</vt:lpstr>
      <vt:lpstr>_07N07_Recien_Nacidos_codSexoBiologico</vt:lpstr>
      <vt:lpstr>_07N10_Recien_Nacidos_condicionDestinoUsuarioEgreso</vt:lpstr>
      <vt:lpstr>_08M07_Medicamentos_tipoMedicamento</vt:lpstr>
      <vt:lpstr>_08M11_Medicamentos_unidadMedida</vt:lpstr>
      <vt:lpstr>_08M12_Medicamentos_formaFarmaceutica</vt:lpstr>
      <vt:lpstr>_08M13_Medicamentos_unidadMinDispensa</vt:lpstr>
      <vt:lpstr>_08M16_Medicamentos_tipoDocumentoIdentificacion</vt:lpstr>
      <vt:lpstr>_08M20_Medicamentos_conceptoRecaudo</vt:lpstr>
      <vt:lpstr>_09S05_Otros_Servicios_tipoOS</vt:lpstr>
      <vt:lpstr>_09S09_Otros_Servicios_tipoDocumentoIdentificacion</vt:lpstr>
      <vt:lpstr>_09S13_Otros_Servicios_conceptoRecaudo</vt:lpstr>
      <vt:lpstr>Hojas_Rips</vt:lpstr>
      <vt:lpstr>numDocumentoIdentificacion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Hernandez</dc:creator>
  <cp:lastModifiedBy>Carlos_admin</cp:lastModifiedBy>
  <dcterms:created xsi:type="dcterms:W3CDTF">2024-08-05T13:28:29Z</dcterms:created>
  <dcterms:modified xsi:type="dcterms:W3CDTF">2026-07-13T14:53:20Z</dcterms:modified>
</cp:coreProperties>
</file>